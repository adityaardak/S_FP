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neha khandelwal\Desktop\AICW\project 2\"/>
    </mc:Choice>
  </mc:AlternateContent>
  <xr:revisionPtr revIDLastSave="0" documentId="13_ncr:1_{987BB052-B398-4D81-9D08-9040B178E14B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company 1" sheetId="1" r:id="rId1"/>
    <sheet name="company 2" sheetId="2" r:id="rId2"/>
    <sheet name="company 3" sheetId="3" r:id="rId3"/>
    <sheet name="company 4" sheetId="4" r:id="rId4"/>
    <sheet name="company 5" sheetId="5" r:id="rId5"/>
    <sheet name="benchmark 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42" i="5" l="1"/>
  <c r="B6" i="6" s="1"/>
  <c r="S41" i="4"/>
  <c r="B5" i="6" s="1"/>
  <c r="S41" i="3"/>
  <c r="B4" i="6" s="1"/>
  <c r="S41" i="2"/>
  <c r="B3" i="6" s="1"/>
  <c r="S42" i="1"/>
  <c r="B2" i="6" s="1"/>
  <c r="C7" i="6" l="1"/>
</calcChain>
</file>

<file path=xl/sharedStrings.xml><?xml version="1.0" encoding="utf-8"?>
<sst xmlns="http://schemas.openxmlformats.org/spreadsheetml/2006/main" count="699" uniqueCount="429">
  <si>
    <t>Employee_ID</t>
  </si>
  <si>
    <t>Employee_Name</t>
  </si>
  <si>
    <t>Department</t>
  </si>
  <si>
    <t>Date_of_Joining</t>
  </si>
  <si>
    <t>CTC_Annual</t>
  </si>
  <si>
    <t>Fixed_Salary_Monthly</t>
  </si>
  <si>
    <t>Variable_Pay_Monthly</t>
  </si>
  <si>
    <t>Basic_Salary</t>
  </si>
  <si>
    <t>HRA</t>
  </si>
  <si>
    <t>Allowances</t>
  </si>
  <si>
    <t>PF_Deduction</t>
  </si>
  <si>
    <t>Professional_Tax</t>
  </si>
  <si>
    <t>monthly_work hours</t>
  </si>
  <si>
    <t>monthly_overtime hours</t>
  </si>
  <si>
    <t>per_hr_regular pay</t>
  </si>
  <si>
    <t>per_hour_overtime_pay</t>
  </si>
  <si>
    <t>Overtime_Paid</t>
  </si>
  <si>
    <t>Net_Salary_Paid_excluding variable pay</t>
  </si>
  <si>
    <t>Net_Salary_Paid_including variable pay</t>
  </si>
  <si>
    <t>MW001</t>
  </si>
  <si>
    <t>MW002</t>
  </si>
  <si>
    <t>MW003</t>
  </si>
  <si>
    <t>MW004</t>
  </si>
  <si>
    <t>MW005</t>
  </si>
  <si>
    <t>MW006</t>
  </si>
  <si>
    <t>MW007</t>
  </si>
  <si>
    <t>MW008</t>
  </si>
  <si>
    <t>MW009</t>
  </si>
  <si>
    <t>MW010</t>
  </si>
  <si>
    <t>MW011</t>
  </si>
  <si>
    <t>MW012</t>
  </si>
  <si>
    <t>MW013</t>
  </si>
  <si>
    <t>MW014</t>
  </si>
  <si>
    <t>MW015</t>
  </si>
  <si>
    <t>MW016</t>
  </si>
  <si>
    <t>MW017</t>
  </si>
  <si>
    <t>MW018</t>
  </si>
  <si>
    <t>MW019</t>
  </si>
  <si>
    <t>MW020</t>
  </si>
  <si>
    <t>MW021</t>
  </si>
  <si>
    <t>MW022</t>
  </si>
  <si>
    <t>MW023</t>
  </si>
  <si>
    <t>MW024</t>
  </si>
  <si>
    <t>MW025</t>
  </si>
  <si>
    <t>MW026</t>
  </si>
  <si>
    <t>MW027</t>
  </si>
  <si>
    <t>MW028</t>
  </si>
  <si>
    <t>MW029</t>
  </si>
  <si>
    <t>MW030</t>
  </si>
  <si>
    <t>MW031</t>
  </si>
  <si>
    <t>MW032</t>
  </si>
  <si>
    <t>MW033</t>
  </si>
  <si>
    <t>MW034</t>
  </si>
  <si>
    <t>MW035</t>
  </si>
  <si>
    <t>MW036</t>
  </si>
  <si>
    <t>MW037</t>
  </si>
  <si>
    <t>MW038</t>
  </si>
  <si>
    <t>MW039</t>
  </si>
  <si>
    <t>MW040</t>
  </si>
  <si>
    <t>AL001</t>
  </si>
  <si>
    <t>AL002</t>
  </si>
  <si>
    <t>AL003</t>
  </si>
  <si>
    <t>AL004</t>
  </si>
  <si>
    <t>AL005</t>
  </si>
  <si>
    <t>AL006</t>
  </si>
  <si>
    <t>AL007</t>
  </si>
  <si>
    <t>AL008</t>
  </si>
  <si>
    <t>AL009</t>
  </si>
  <si>
    <t>AL010</t>
  </si>
  <si>
    <t>AL011</t>
  </si>
  <si>
    <t>AL012</t>
  </si>
  <si>
    <t>AL013</t>
  </si>
  <si>
    <t>AL014</t>
  </si>
  <si>
    <t>AL015</t>
  </si>
  <si>
    <t>AL016</t>
  </si>
  <si>
    <t>AL017</t>
  </si>
  <si>
    <t>AL018</t>
  </si>
  <si>
    <t>AL019</t>
  </si>
  <si>
    <t>AL020</t>
  </si>
  <si>
    <t>AL021</t>
  </si>
  <si>
    <t>AL022</t>
  </si>
  <si>
    <t>AL023</t>
  </si>
  <si>
    <t>AL024</t>
  </si>
  <si>
    <t>AL025</t>
  </si>
  <si>
    <t>AL026</t>
  </si>
  <si>
    <t>AL027</t>
  </si>
  <si>
    <t>AL028</t>
  </si>
  <si>
    <t>AL029</t>
  </si>
  <si>
    <t>AL030</t>
  </si>
  <si>
    <t>AL031</t>
  </si>
  <si>
    <t>AL032</t>
  </si>
  <si>
    <t>AL033</t>
  </si>
  <si>
    <t>AL034</t>
  </si>
  <si>
    <t>AL035</t>
  </si>
  <si>
    <t>AL036</t>
  </si>
  <si>
    <t>AL037</t>
  </si>
  <si>
    <t>AL038</t>
  </si>
  <si>
    <t>AL039</t>
  </si>
  <si>
    <t>ZO001</t>
  </si>
  <si>
    <t>ZO002</t>
  </si>
  <si>
    <t>ZO003</t>
  </si>
  <si>
    <t>ZO004</t>
  </si>
  <si>
    <t>ZO005</t>
  </si>
  <si>
    <t>ZO006</t>
  </si>
  <si>
    <t>ZO007</t>
  </si>
  <si>
    <t>ZO008</t>
  </si>
  <si>
    <t>ZO009</t>
  </si>
  <si>
    <t>ZO010</t>
  </si>
  <si>
    <t>ZO011</t>
  </si>
  <si>
    <t>ZO012</t>
  </si>
  <si>
    <t>ZO013</t>
  </si>
  <si>
    <t>ZO014</t>
  </si>
  <si>
    <t>ZO015</t>
  </si>
  <si>
    <t>ZO016</t>
  </si>
  <si>
    <t>ZO017</t>
  </si>
  <si>
    <t>ZO018</t>
  </si>
  <si>
    <t>ZO019</t>
  </si>
  <si>
    <t>ZO020</t>
  </si>
  <si>
    <t>ZO021</t>
  </si>
  <si>
    <t>ZO022</t>
  </si>
  <si>
    <t>ZO023</t>
  </si>
  <si>
    <t>ZO024</t>
  </si>
  <si>
    <t>ZO025</t>
  </si>
  <si>
    <t>ZO026</t>
  </si>
  <si>
    <t>ZO027</t>
  </si>
  <si>
    <t>ZO028</t>
  </si>
  <si>
    <t>ZO029</t>
  </si>
  <si>
    <t>ZO030</t>
  </si>
  <si>
    <t>ZO031</t>
  </si>
  <si>
    <t>ZO032</t>
  </si>
  <si>
    <t>ZO033</t>
  </si>
  <si>
    <t>ZO034</t>
  </si>
  <si>
    <t>ZO035</t>
  </si>
  <si>
    <t>ZO036</t>
  </si>
  <si>
    <t>ZO037</t>
  </si>
  <si>
    <t>ZO038</t>
  </si>
  <si>
    <t>ZO039</t>
  </si>
  <si>
    <t>SF001</t>
  </si>
  <si>
    <t>SF002</t>
  </si>
  <si>
    <t>SF003</t>
  </si>
  <si>
    <t>SF004</t>
  </si>
  <si>
    <t>SF005</t>
  </si>
  <si>
    <t>SF006</t>
  </si>
  <si>
    <t>SF007</t>
  </si>
  <si>
    <t>SF008</t>
  </si>
  <si>
    <t>SF009</t>
  </si>
  <si>
    <t>SF010</t>
  </si>
  <si>
    <t>SF011</t>
  </si>
  <si>
    <t>SF012</t>
  </si>
  <si>
    <t>SF013</t>
  </si>
  <si>
    <t>SF014</t>
  </si>
  <si>
    <t>SF015</t>
  </si>
  <si>
    <t>SF016</t>
  </si>
  <si>
    <t>SF017</t>
  </si>
  <si>
    <t>SF018</t>
  </si>
  <si>
    <t>SF019</t>
  </si>
  <si>
    <t>SF020</t>
  </si>
  <si>
    <t>SF021</t>
  </si>
  <si>
    <t>SF022</t>
  </si>
  <si>
    <t>SF023</t>
  </si>
  <si>
    <t>SF024</t>
  </si>
  <si>
    <t>SF025</t>
  </si>
  <si>
    <t>SF026</t>
  </si>
  <si>
    <t>SF027</t>
  </si>
  <si>
    <t>SF028</t>
  </si>
  <si>
    <t>SF029</t>
  </si>
  <si>
    <t>SF030</t>
  </si>
  <si>
    <t>SF031</t>
  </si>
  <si>
    <t>SF032</t>
  </si>
  <si>
    <t>SF033</t>
  </si>
  <si>
    <t>SF034</t>
  </si>
  <si>
    <t>SF035</t>
  </si>
  <si>
    <t>SF036</t>
  </si>
  <si>
    <t>SF037</t>
  </si>
  <si>
    <t>SF038</t>
  </si>
  <si>
    <t>SF039</t>
  </si>
  <si>
    <t>SF040</t>
  </si>
  <si>
    <t>NS001</t>
  </si>
  <si>
    <t>NS002</t>
  </si>
  <si>
    <t>NS003</t>
  </si>
  <si>
    <t>NS004</t>
  </si>
  <si>
    <t>NS005</t>
  </si>
  <si>
    <t>NS006</t>
  </si>
  <si>
    <t>NS007</t>
  </si>
  <si>
    <t>NS008</t>
  </si>
  <si>
    <t>NS009</t>
  </si>
  <si>
    <t>NS010</t>
  </si>
  <si>
    <t>NS011</t>
  </si>
  <si>
    <t>NS012</t>
  </si>
  <si>
    <t>NS013</t>
  </si>
  <si>
    <t>NS014</t>
  </si>
  <si>
    <t>NS015</t>
  </si>
  <si>
    <t>NS016</t>
  </si>
  <si>
    <t>NS017</t>
  </si>
  <si>
    <t>NS018</t>
  </si>
  <si>
    <t>NS019</t>
  </si>
  <si>
    <t>NS020</t>
  </si>
  <si>
    <t>NS021</t>
  </si>
  <si>
    <t>NS022</t>
  </si>
  <si>
    <t>NS023</t>
  </si>
  <si>
    <t>NS024</t>
  </si>
  <si>
    <t>NS025</t>
  </si>
  <si>
    <t>NS026</t>
  </si>
  <si>
    <t>NS027</t>
  </si>
  <si>
    <t>NS028</t>
  </si>
  <si>
    <t>NS029</t>
  </si>
  <si>
    <t>NS030</t>
  </si>
  <si>
    <t>NS031</t>
  </si>
  <si>
    <t>NS032</t>
  </si>
  <si>
    <t>NS033</t>
  </si>
  <si>
    <t>NS034</t>
  </si>
  <si>
    <t>NS035</t>
  </si>
  <si>
    <t>NS036</t>
  </si>
  <si>
    <t>NS037</t>
  </si>
  <si>
    <t>NS038</t>
  </si>
  <si>
    <t>NS039</t>
  </si>
  <si>
    <t>Rudra Dube</t>
  </si>
  <si>
    <t>Odika Bahl</t>
  </si>
  <si>
    <t>Advaith Pandit</t>
  </si>
  <si>
    <t>Unni Suri</t>
  </si>
  <si>
    <t>Samar Memon</t>
  </si>
  <si>
    <t>Yauvani Krish</t>
  </si>
  <si>
    <t>Andrew Gara</t>
  </si>
  <si>
    <t>Oeshi Thakur</t>
  </si>
  <si>
    <t>Jacob Chokshi</t>
  </si>
  <si>
    <t>Xalak Garg</t>
  </si>
  <si>
    <t>Dipta Thaker</t>
  </si>
  <si>
    <t>Yuvraj Babu</t>
  </si>
  <si>
    <t>Nikita Kurian</t>
  </si>
  <si>
    <t>Raagini Bir</t>
  </si>
  <si>
    <t>Omya Dutt</t>
  </si>
  <si>
    <t>Azad Krish</t>
  </si>
  <si>
    <t>Nathan Kulkarni</t>
  </si>
  <si>
    <t>Oliver Sidhu</t>
  </si>
  <si>
    <t>Falan Dora</t>
  </si>
  <si>
    <t>Sarthak Dash</t>
  </si>
  <si>
    <t>Damini Vaidya</t>
  </si>
  <si>
    <t>Aishani Varty</t>
  </si>
  <si>
    <t>Irya Kulkarni</t>
  </si>
  <si>
    <t>Maya Kata</t>
  </si>
  <si>
    <t>Anirudh Sahota</t>
  </si>
  <si>
    <t>Warjas Tak</t>
  </si>
  <si>
    <t>Sneha Borde</t>
  </si>
  <si>
    <t>Theodore Deol</t>
  </si>
  <si>
    <t>Daksha Vaidya</t>
  </si>
  <si>
    <t>Sai Sura</t>
  </si>
  <si>
    <t>Niharika Roy</t>
  </si>
  <si>
    <t>Saksham Aurora</t>
  </si>
  <si>
    <t>Anmol Magar</t>
  </si>
  <si>
    <t>Varsha Rau</t>
  </si>
  <si>
    <t>Pratyush Chatterjee</t>
  </si>
  <si>
    <t>Chaitanya Jha</t>
  </si>
  <si>
    <t>Kalpit Jayaraman</t>
  </si>
  <si>
    <t>Zayan Kara</t>
  </si>
  <si>
    <t>Veda Lata</t>
  </si>
  <si>
    <t>Radha Barman</t>
  </si>
  <si>
    <t>Mohammed Bali</t>
  </si>
  <si>
    <t>Nihal Nagar</t>
  </si>
  <si>
    <t>Niharika Pai</t>
  </si>
  <si>
    <t>Pratyush Kalla</t>
  </si>
  <si>
    <t>Ishanvi Mani</t>
  </si>
  <si>
    <t>Jhalak Prabhu</t>
  </si>
  <si>
    <t>Nicholas Dhillon</t>
  </si>
  <si>
    <t>Aarush Lanka</t>
  </si>
  <si>
    <t>Joshua Nagy</t>
  </si>
  <si>
    <t>Upadhriti Raman</t>
  </si>
  <si>
    <t>Raagini Jain</t>
  </si>
  <si>
    <t>Yashawini Kothari</t>
  </si>
  <si>
    <t>Chakrika Ahluwalia</t>
  </si>
  <si>
    <t>Yatin Chaudhari</t>
  </si>
  <si>
    <t>Advay Sura</t>
  </si>
  <si>
    <t>Madhav Bahl</t>
  </si>
  <si>
    <t>Unnati Loyal</t>
  </si>
  <si>
    <t>Gunbir Dasgupta</t>
  </si>
  <si>
    <t>Amruta Narayanan</t>
  </si>
  <si>
    <t>Madhavi Thakkar</t>
  </si>
  <si>
    <t>Wriddhish Rau</t>
  </si>
  <si>
    <t>Varsha Hayre</t>
  </si>
  <si>
    <t>Aachal Bahl</t>
  </si>
  <si>
    <t>Shivansh Char</t>
  </si>
  <si>
    <t>Jackson Thakur</t>
  </si>
  <si>
    <t>Christopher Keer</t>
  </si>
  <si>
    <t>Warinder Bhatia</t>
  </si>
  <si>
    <t>Aditya Anne</t>
  </si>
  <si>
    <t>Chaaya Sabharwal</t>
  </si>
  <si>
    <t>Dalaja Vohra</t>
  </si>
  <si>
    <t>George Sachdev</t>
  </si>
  <si>
    <t>Rachita Khalsa</t>
  </si>
  <si>
    <t>Anamika Kapadia</t>
  </si>
  <si>
    <t>Warinder Bal</t>
  </si>
  <si>
    <t>Leela Dada</t>
  </si>
  <si>
    <t>Ati Karan</t>
  </si>
  <si>
    <t>Atharv Setty</t>
  </si>
  <si>
    <t>Teerth Radhakrishnan</t>
  </si>
  <si>
    <t>Mitesh Borra</t>
  </si>
  <si>
    <t>Aryan Minhas</t>
  </si>
  <si>
    <t>Kashish Bhatnagar</t>
  </si>
  <si>
    <t>Nitara Kulkarni</t>
  </si>
  <si>
    <t>Nisha Golla</t>
  </si>
  <si>
    <t>Jagat Gara</t>
  </si>
  <si>
    <t>Orinder Divan</t>
  </si>
  <si>
    <t>Ijaya Varghese</t>
  </si>
  <si>
    <t>Faras Pall</t>
  </si>
  <si>
    <t>Neel Subramanian</t>
  </si>
  <si>
    <t>Lucky Rana</t>
  </si>
  <si>
    <t>Thomas Handa</t>
  </si>
  <si>
    <t>Janya Gopal</t>
  </si>
  <si>
    <t>Ojasvi Wason</t>
  </si>
  <si>
    <t>Leena Mallick</t>
  </si>
  <si>
    <t>Peter Chander</t>
  </si>
  <si>
    <t>Kai Devan</t>
  </si>
  <si>
    <t>Anay Sur</t>
  </si>
  <si>
    <t>Yadavi Dugar</t>
  </si>
  <si>
    <t>Anjali Viswanathan</t>
  </si>
  <si>
    <t>Harini Kota</t>
  </si>
  <si>
    <t>Dalaja Shenoy</t>
  </si>
  <si>
    <t>Gagan Deol</t>
  </si>
  <si>
    <t>Patrick Chaudry</t>
  </si>
  <si>
    <t>Yochana Bhardwaj</t>
  </si>
  <si>
    <t>Chanakya Murty</t>
  </si>
  <si>
    <t>Jeremiah Andra</t>
  </si>
  <si>
    <t>Karan Varkey</t>
  </si>
  <si>
    <t>Harini Radhakrishnan</t>
  </si>
  <si>
    <t>Daksh Pathak</t>
  </si>
  <si>
    <t>Harinakshi Mitra</t>
  </si>
  <si>
    <t>Oviya Mistry</t>
  </si>
  <si>
    <t>Zaitra Deol</t>
  </si>
  <si>
    <t>Girik Boase</t>
  </si>
  <si>
    <t>Rayaan Kari</t>
  </si>
  <si>
    <t>Garima Hans</t>
  </si>
  <si>
    <t>Amara Raval</t>
  </si>
  <si>
    <t>Jeremiah Sant</t>
  </si>
  <si>
    <t>Niharika Raja</t>
  </si>
  <si>
    <t>Vasana Sachar</t>
  </si>
  <si>
    <t>Aishani Srivastava</t>
  </si>
  <si>
    <t>Kavya Pai</t>
  </si>
  <si>
    <t>Yashawini Swamy</t>
  </si>
  <si>
    <t>Upadhriti Narula</t>
  </si>
  <si>
    <t>Radha Sinha</t>
  </si>
  <si>
    <t>Ronith Puri</t>
  </si>
  <si>
    <t>Manan Misra</t>
  </si>
  <si>
    <t>Hamsini Sridhar</t>
  </si>
  <si>
    <t>Chaaya Mani</t>
  </si>
  <si>
    <t>Hema Jani</t>
  </si>
  <si>
    <t>Idika Loyal</t>
  </si>
  <si>
    <t>Deepa Malhotra</t>
  </si>
  <si>
    <t>Adweta Chander</t>
  </si>
  <si>
    <t>Sai Mall</t>
  </si>
  <si>
    <t>Samarth Ben</t>
  </si>
  <si>
    <t>Mitali Savant</t>
  </si>
  <si>
    <t>Pratyush Sen</t>
  </si>
  <si>
    <t>Krish Chaudry</t>
  </si>
  <si>
    <t>Siddharth Dubey</t>
  </si>
  <si>
    <t>Max Nagi</t>
  </si>
  <si>
    <t>Xalak Keer</t>
  </si>
  <si>
    <t>Rachit Dar</t>
  </si>
  <si>
    <t>Advay Dasgupta</t>
  </si>
  <si>
    <t>Zehaan Seshadri</t>
  </si>
  <si>
    <t>Ayaan Jhaveri</t>
  </si>
  <si>
    <t>Gagan Chopra</t>
  </si>
  <si>
    <t>Nandini Nair</t>
  </si>
  <si>
    <t>Aadi Dara</t>
  </si>
  <si>
    <t>Udarsh Chowdhury</t>
  </si>
  <si>
    <t>Xavier Kota</t>
  </si>
  <si>
    <t>Oeshi Raja</t>
  </si>
  <si>
    <t>Ira Dixit</t>
  </si>
  <si>
    <t>George Ratta</t>
  </si>
  <si>
    <t>Anika Gour</t>
  </si>
  <si>
    <t>Aarna Dara</t>
  </si>
  <si>
    <t>Siddharth Dani</t>
  </si>
  <si>
    <t>Dalbir Patil</t>
  </si>
  <si>
    <t>Yug Nath</t>
  </si>
  <si>
    <t>Ekaja Mangal</t>
  </si>
  <si>
    <t>Abha Dixit</t>
  </si>
  <si>
    <t>Abdul Walla</t>
  </si>
  <si>
    <t>Pranav Anne</t>
  </si>
  <si>
    <t>Chasmum Khanna</t>
  </si>
  <si>
    <t>Aarna Lal</t>
  </si>
  <si>
    <t>Ranveer Peri</t>
  </si>
  <si>
    <t>Shravya Varma</t>
  </si>
  <si>
    <t>Gaurangi Sandal</t>
  </si>
  <si>
    <t>Rohan Oak</t>
  </si>
  <si>
    <t>Anika Dhar</t>
  </si>
  <si>
    <t>Vaishnavi Brar</t>
  </si>
  <si>
    <t>Damini Rajan</t>
  </si>
  <si>
    <t>Jasmit Salvi</t>
  </si>
  <si>
    <t>Wishi Nadig</t>
  </si>
  <si>
    <t>Ria Bala</t>
  </si>
  <si>
    <t>Chatresh Kannan</t>
  </si>
  <si>
    <t>Aadhya Minhas</t>
  </si>
  <si>
    <t>Teerth Agrawal</t>
  </si>
  <si>
    <t>Sara Chowdhury</t>
  </si>
  <si>
    <t>Daniel Gopal</t>
  </si>
  <si>
    <t>Dakshesh Dayal</t>
  </si>
  <si>
    <t>Jyoti Dass</t>
  </si>
  <si>
    <t>Madhavi Virk</t>
  </si>
  <si>
    <t>Qadim Tella</t>
  </si>
  <si>
    <t>Ekantika Bhalla</t>
  </si>
  <si>
    <t>Yasti Sangha</t>
  </si>
  <si>
    <t>Bhavna Kohli</t>
  </si>
  <si>
    <t>Abhimanyu Jhaveri</t>
  </si>
  <si>
    <t>Pallavi Sarkar</t>
  </si>
  <si>
    <t>Hardik Ganguly</t>
  </si>
  <si>
    <t>Dakshesh Gara</t>
  </si>
  <si>
    <t>Ethan Murty</t>
  </si>
  <si>
    <t>Samaksh Rau</t>
  </si>
  <si>
    <t>Bhavani Merchant</t>
  </si>
  <si>
    <t>Radhika Lanka</t>
  </si>
  <si>
    <t>Advaith Bains</t>
  </si>
  <si>
    <t>Gaurav Raja</t>
  </si>
  <si>
    <t>Krishna Puri</t>
  </si>
  <si>
    <t>Sudiksha Sodhi</t>
  </si>
  <si>
    <t>William Palan</t>
  </si>
  <si>
    <t>Operations</t>
  </si>
  <si>
    <t>Logistics</t>
  </si>
  <si>
    <t>Sales</t>
  </si>
  <si>
    <t>Production</t>
  </si>
  <si>
    <t>Administration</t>
  </si>
  <si>
    <t>Finance</t>
  </si>
  <si>
    <t>HR</t>
  </si>
  <si>
    <t xml:space="preserve">median </t>
  </si>
  <si>
    <t xml:space="preserve">benchmark salary across industry </t>
  </si>
  <si>
    <t xml:space="preserve">company </t>
  </si>
  <si>
    <t xml:space="preserve">median salary </t>
  </si>
  <si>
    <t>company 1</t>
  </si>
  <si>
    <t>company 2</t>
  </si>
  <si>
    <t>company 3</t>
  </si>
  <si>
    <t>company 4</t>
  </si>
  <si>
    <t>company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</si>
</sst>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115"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6EA72B-7476-468A-9BFC-5A0C5C1B305C}" name="Table1" displayName="Table1" ref="A1:S42" totalsRowShown="0" headerRowDxfId="114" headerRowBorderDxfId="113" tableBorderDxfId="112" totalsRowBorderDxfId="111">
  <autoFilter ref="A1:S42" xr:uid="{DE6EA72B-7476-468A-9BFC-5A0C5C1B305C}"/>
  <tableColumns count="19">
    <tableColumn id="1" xr3:uid="{9D4D5251-EE99-4298-973C-CE33681D9921}" name="Employee_ID" dataDxfId="110"/>
    <tableColumn id="2" xr3:uid="{844EA6E5-99A0-439F-8A62-A2E013C79B65}" name="Employee_Name" dataDxfId="109"/>
    <tableColumn id="3" xr3:uid="{96A25DCA-71F4-4027-A8E8-6EE57EF4C68A}" name="Department" dataDxfId="108"/>
    <tableColumn id="4" xr3:uid="{92D6E454-9744-469C-815A-8E1D481D514E}" name="Date_of_Joining" dataDxfId="107"/>
    <tableColumn id="5" xr3:uid="{F2BC0EFC-7FB3-4454-9F9B-6EAB9D366542}" name="CTC_Annual" dataDxfId="106"/>
    <tableColumn id="6" xr3:uid="{465D6AA1-BEDE-42C6-A07B-67E669043F2B}" name="Fixed_Salary_Monthly" dataDxfId="105"/>
    <tableColumn id="7" xr3:uid="{2CF3AC8D-3BEC-485F-B590-2BA31803A826}" name="Variable_Pay_Monthly" dataDxfId="104"/>
    <tableColumn id="8" xr3:uid="{0C7B0BCF-04F0-4127-8A54-7B84A86122F1}" name="Basic_Salary" dataDxfId="103"/>
    <tableColumn id="9" xr3:uid="{52963C08-8A64-4F1B-A2EC-194021C555AF}" name="HRA" dataDxfId="102"/>
    <tableColumn id="10" xr3:uid="{CCFC62B6-C3C5-49C5-A859-33362BF77A5B}" name="Allowances" dataDxfId="101"/>
    <tableColumn id="11" xr3:uid="{AFF73B4B-9B5B-455A-967E-A5184F0B7172}" name="PF_Deduction" dataDxfId="100"/>
    <tableColumn id="12" xr3:uid="{153CE8A7-FE40-4AC4-9574-384C71679088}" name="Professional_Tax" dataDxfId="99"/>
    <tableColumn id="13" xr3:uid="{592651FD-03DA-4328-B7BB-771BB8D1E6FD}" name="monthly_work hours" dataDxfId="98"/>
    <tableColumn id="14" xr3:uid="{B5227544-6A39-40F7-830F-36FDDBE0ED52}" name="monthly_overtime hours" dataDxfId="97"/>
    <tableColumn id="15" xr3:uid="{546A8C06-EA1F-4F4C-8D4F-C0F1948D1302}" name="per_hr_regular pay" dataDxfId="96"/>
    <tableColumn id="16" xr3:uid="{7F96F2A1-72FB-464C-B649-71C6FA9D1EC6}" name="per_hour_overtime_pay" dataDxfId="95"/>
    <tableColumn id="17" xr3:uid="{6F0D0D7D-6501-4929-B930-6EBEF98EA2DD}" name="Overtime_Paid" dataDxfId="94"/>
    <tableColumn id="18" xr3:uid="{91C77886-5929-4489-BCB9-0F471BD820FC}" name="Net_Salary_Paid_excluding variable pay" dataDxfId="93"/>
    <tableColumn id="19" xr3:uid="{7AF4D85B-07A5-44FF-8D2B-41DFB44D7598}" name="Net_Salary_Paid_including variable pay" dataDxfId="9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7166313-649A-4D02-B282-F684C746665F}" name="Table2" displayName="Table2" ref="A1:S41" totalsRowShown="0" headerRowDxfId="91" headerRowBorderDxfId="90" tableBorderDxfId="89" totalsRowBorderDxfId="88">
  <autoFilter ref="A1:S41" xr:uid="{97166313-649A-4D02-B282-F684C746665F}"/>
  <tableColumns count="19">
    <tableColumn id="1" xr3:uid="{827D7CB8-8D56-4776-A351-4DF67AB6CA3C}" name="Employee_ID" dataDxfId="87"/>
    <tableColumn id="2" xr3:uid="{37A3959B-9E7C-4E2C-8BA1-D33BADC533FF}" name="Employee_Name" dataDxfId="86"/>
    <tableColumn id="3" xr3:uid="{56F8268D-B75A-4747-B996-01FA44A8BAD2}" name="Department" dataDxfId="85"/>
    <tableColumn id="4" xr3:uid="{D44E410A-65BD-41AA-AD43-F70CA101DB98}" name="Date_of_Joining" dataDxfId="84"/>
    <tableColumn id="5" xr3:uid="{999112A6-CAF8-444E-AC83-FCCA3FD7E0A7}" name="CTC_Annual" dataDxfId="83"/>
    <tableColumn id="6" xr3:uid="{E39867C5-045E-4193-A068-D11206D39401}" name="Fixed_Salary_Monthly" dataDxfId="82"/>
    <tableColumn id="7" xr3:uid="{D9B7820F-4E16-448A-B983-A424906A7244}" name="Variable_Pay_Monthly" dataDxfId="81"/>
    <tableColumn id="8" xr3:uid="{9B303F43-DA6F-4299-918B-CA3A23A992BC}" name="Basic_Salary" dataDxfId="80"/>
    <tableColumn id="9" xr3:uid="{A4FED4D8-886A-41E1-B27A-2AC0711539AB}" name="HRA" dataDxfId="79"/>
    <tableColumn id="10" xr3:uid="{B87BA701-6240-4AB9-8878-EB673A360D35}" name="Allowances" dataDxfId="78"/>
    <tableColumn id="11" xr3:uid="{C71D2B8E-7A60-4A86-98D6-6C38D27EC6F5}" name="PF_Deduction" dataDxfId="77"/>
    <tableColumn id="12" xr3:uid="{6CEFC973-A889-4926-962F-B2EC633884A7}" name="Professional_Tax" dataDxfId="76"/>
    <tableColumn id="13" xr3:uid="{33AEE746-75EC-481A-B06D-C7BEEA098179}" name="monthly_work hours" dataDxfId="75"/>
    <tableColumn id="14" xr3:uid="{D72BC1F7-81ED-4D6B-BE05-5A490DA3B654}" name="monthly_overtime hours" dataDxfId="74"/>
    <tableColumn id="15" xr3:uid="{C3303140-3F9D-4AD3-A00E-3B6081865573}" name="per_hr_regular pay" dataDxfId="73"/>
    <tableColumn id="16" xr3:uid="{E0E3426B-83C6-4E82-9AC8-4CDE7CCA4A5A}" name="per_hour_overtime_pay" dataDxfId="72"/>
    <tableColumn id="17" xr3:uid="{C4538C8E-A841-4714-B2ED-CB78BAD41EE5}" name="Overtime_Paid" dataDxfId="71"/>
    <tableColumn id="18" xr3:uid="{CA3AAB02-00FE-4CEF-BA4F-D0D7B935CE5F}" name="Net_Salary_Paid_excluding variable pay" dataDxfId="70"/>
    <tableColumn id="19" xr3:uid="{33923CFC-F827-4FC7-A2BE-BAD5DC1B139A}" name="Net_Salary_Paid_including variable pay" dataDxfId="69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ED46069-2AC2-4F7A-823D-383B42D2020D}" name="Table3" displayName="Table3" ref="A1:S41" totalsRowShown="0" headerRowDxfId="68" headerRowBorderDxfId="67" tableBorderDxfId="66" totalsRowBorderDxfId="65">
  <autoFilter ref="A1:S41" xr:uid="{FED46069-2AC2-4F7A-823D-383B42D2020D}"/>
  <tableColumns count="19">
    <tableColumn id="1" xr3:uid="{3950E604-3B9F-4422-9F08-0AFEFB5E1948}" name="Employee_ID" dataDxfId="64"/>
    <tableColumn id="2" xr3:uid="{E429864A-5E09-4F0D-B2DF-29BAAF6074BC}" name="Employee_Name" dataDxfId="63"/>
    <tableColumn id="3" xr3:uid="{68CB3167-BE98-419A-836A-EE8BA8028A7B}" name="Department" dataDxfId="62"/>
    <tableColumn id="4" xr3:uid="{67FA5073-63B7-4729-859E-A349141EB544}" name="Date_of_Joining" dataDxfId="61"/>
    <tableColumn id="5" xr3:uid="{003C5623-03D1-4E27-8BCE-61F3F365B80A}" name="CTC_Annual" dataDxfId="60"/>
    <tableColumn id="6" xr3:uid="{3AEB1D67-87A2-43A6-823F-46AADE3B729B}" name="Fixed_Salary_Monthly" dataDxfId="59"/>
    <tableColumn id="7" xr3:uid="{86C9CD34-AE66-4501-81F6-E426F46AD90A}" name="Variable_Pay_Monthly" dataDxfId="58"/>
    <tableColumn id="8" xr3:uid="{A4ECD76A-48E9-472D-A620-84A38F48B66E}" name="Basic_Salary" dataDxfId="57"/>
    <tableColumn id="9" xr3:uid="{3EAA093E-1238-4CFB-8C14-B12D431BEE63}" name="HRA" dataDxfId="56"/>
    <tableColumn id="10" xr3:uid="{54A079FA-995F-47D2-81EC-9515DE741513}" name="Allowances" dataDxfId="55"/>
    <tableColumn id="11" xr3:uid="{14AC838B-1780-487D-8FA4-7E6B8D3EF375}" name="PF_Deduction" dataDxfId="54"/>
    <tableColumn id="12" xr3:uid="{7B24032C-1BF2-432C-9274-DF87E4EBEE9E}" name="Professional_Tax" dataDxfId="53"/>
    <tableColumn id="13" xr3:uid="{14BB3AA6-FCD6-492B-966A-97871A279AC8}" name="monthly_work hours" dataDxfId="52"/>
    <tableColumn id="14" xr3:uid="{6DD5656A-FAE5-4374-8D13-7FC32C24DE2C}" name="monthly_overtime hours" dataDxfId="51"/>
    <tableColumn id="15" xr3:uid="{0D5FE5B6-607F-495D-BC88-9EC0B73825B0}" name="per_hr_regular pay" dataDxfId="50"/>
    <tableColumn id="16" xr3:uid="{5AD3B216-EB4C-451E-A5DA-503C9AF2CE3F}" name="per_hour_overtime_pay" dataDxfId="49"/>
    <tableColumn id="17" xr3:uid="{7408B5BB-FDA1-4847-ACE2-EED0A243294D}" name="Overtime_Paid" dataDxfId="48"/>
    <tableColumn id="18" xr3:uid="{FCB33ADF-1430-4B93-BD5D-2B7DC9684121}" name="Net_Salary_Paid_excluding variable pay" dataDxfId="47"/>
    <tableColumn id="19" xr3:uid="{55D9D2CD-9F57-4C6C-BF57-7606019A6A8F}" name="Net_Salary_Paid_including variable pay" dataDxfId="46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52D36F8-CB97-4FDC-883E-AE4D77EC4911}" name="Table4" displayName="Table4" ref="A1:S41" totalsRowShown="0" headerRowDxfId="45" headerRowBorderDxfId="44" tableBorderDxfId="43" totalsRowBorderDxfId="42">
  <autoFilter ref="A1:S41" xr:uid="{F52D36F8-CB97-4FDC-883E-AE4D77EC4911}"/>
  <tableColumns count="19">
    <tableColumn id="1" xr3:uid="{22ADDE07-D000-4321-A2E9-FE748950ED76}" name="Employee_ID" dataDxfId="41"/>
    <tableColumn id="2" xr3:uid="{1AF3520A-BAA9-4C31-B9F6-49155B1059C8}" name="Employee_Name" dataDxfId="40"/>
    <tableColumn id="3" xr3:uid="{0B1C825D-0161-4664-B1DE-4AD0A72D3961}" name="Department" dataDxfId="39"/>
    <tableColumn id="4" xr3:uid="{5F265E51-6204-4858-85C2-F1E8EB4A08D6}" name="Date_of_Joining" dataDxfId="38"/>
    <tableColumn id="5" xr3:uid="{1E6C5FB4-9C55-4586-9EFF-6AD858D3790B}" name="CTC_Annual" dataDxfId="37"/>
    <tableColumn id="6" xr3:uid="{BBB4C141-CDDC-4924-9AF1-020B038D6D22}" name="Fixed_Salary_Monthly" dataDxfId="36"/>
    <tableColumn id="7" xr3:uid="{3FE9E86D-B67A-4A6B-8D86-CC03921575C3}" name="Variable_Pay_Monthly" dataDxfId="35"/>
    <tableColumn id="8" xr3:uid="{F03D4D81-1901-46D5-85B0-478BC32685F5}" name="Basic_Salary" dataDxfId="34"/>
    <tableColumn id="9" xr3:uid="{DDE0913B-9BA1-46ED-99C6-35BBBCB94BA0}" name="HRA" dataDxfId="33"/>
    <tableColumn id="10" xr3:uid="{5CC8D4D2-93CD-4F4F-A8D5-FFA0D97DE662}" name="Allowances" dataDxfId="32"/>
    <tableColumn id="11" xr3:uid="{3E2D9047-6C30-4BDE-A091-30992BFC3EDE}" name="PF_Deduction" dataDxfId="31"/>
    <tableColumn id="12" xr3:uid="{7EC8E5E6-9ACD-4E87-AC5E-FAF8B0A80CEC}" name="Professional_Tax" dataDxfId="30"/>
    <tableColumn id="13" xr3:uid="{477C0B10-0E04-4ADF-A2FC-DA26E22A10C6}" name="monthly_work hours" dataDxfId="29"/>
    <tableColumn id="14" xr3:uid="{DF05BDAE-2AF7-4CC3-8D3D-AF188AF62C1B}" name="monthly_overtime hours" dataDxfId="28"/>
    <tableColumn id="15" xr3:uid="{3AD387C5-6286-4B0C-87AE-F8090164998F}" name="per_hr_regular pay" dataDxfId="27"/>
    <tableColumn id="16" xr3:uid="{55A8C46A-268D-41F0-B259-B6759E96405B}" name="per_hour_overtime_pay" dataDxfId="26"/>
    <tableColumn id="17" xr3:uid="{22EFA5B9-2D95-4D25-B7B9-759005CCF3A1}" name="Overtime_Paid" dataDxfId="25"/>
    <tableColumn id="18" xr3:uid="{F1B4B821-4993-4831-8E29-113DCFCC3E1F}" name="Net_Salary_Paid_excluding variable pay" dataDxfId="24"/>
    <tableColumn id="19" xr3:uid="{171C5BD0-1279-44C0-9472-C7B243D37631}" name="Net_Salary_Paid_including variable pay" dataDxfId="23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63D8078-091A-4F26-A3D6-C9FA53DAB38F}" name="Table5" displayName="Table5" ref="A1:S42" totalsRowShown="0" headerRowDxfId="22" headerRowBorderDxfId="21" tableBorderDxfId="20" totalsRowBorderDxfId="19">
  <autoFilter ref="A1:S42" xr:uid="{C63D8078-091A-4F26-A3D6-C9FA53DAB38F}"/>
  <tableColumns count="19">
    <tableColumn id="1" xr3:uid="{FCC535FA-FE1E-4666-A3B2-E3ACF6FBB042}" name="Employee_ID" dataDxfId="18"/>
    <tableColumn id="2" xr3:uid="{AF564387-6764-4B0B-A6F5-C6B65C3F2DAF}" name="Employee_Name" dataDxfId="17"/>
    <tableColumn id="3" xr3:uid="{7A408C13-72F4-40B6-8DC6-B813F798AF24}" name="Department" dataDxfId="16"/>
    <tableColumn id="4" xr3:uid="{C61C1A4D-1B8C-47BD-A427-E609F65353E5}" name="Date_of_Joining" dataDxfId="15"/>
    <tableColumn id="5" xr3:uid="{5308BCF6-C672-4EAA-B2EF-6707029EA641}" name="CTC_Annual" dataDxfId="14"/>
    <tableColumn id="6" xr3:uid="{C00B6A07-8980-4C10-B8B6-7ED5D231B821}" name="Fixed_Salary_Monthly" dataDxfId="13"/>
    <tableColumn id="7" xr3:uid="{10589589-51DD-4262-B690-89EB341DE601}" name="Variable_Pay_Monthly" dataDxfId="12"/>
    <tableColumn id="8" xr3:uid="{20D1EC96-EDB8-4CF6-9290-66CEBF3BCBA6}" name="Basic_Salary" dataDxfId="11"/>
    <tableColumn id="9" xr3:uid="{1CE66613-63AE-410D-957E-FBB921E1AE57}" name="HRA" dataDxfId="10"/>
    <tableColumn id="10" xr3:uid="{71F6C8E5-0E92-4719-BBA4-12596FCD2D72}" name="Allowances" dataDxfId="9"/>
    <tableColumn id="11" xr3:uid="{1055DB86-40C2-4292-9E04-F980E6D5276F}" name="PF_Deduction" dataDxfId="8"/>
    <tableColumn id="12" xr3:uid="{E37DD480-75C3-4097-88BF-CA568F98A4C2}" name="Professional_Tax" dataDxfId="7"/>
    <tableColumn id="13" xr3:uid="{0CE88595-416D-4C6E-A5B8-2A57882F85F9}" name="monthly_work hours" dataDxfId="6"/>
    <tableColumn id="14" xr3:uid="{E1953371-AB7D-4836-890C-68D65294C672}" name="monthly_overtime hours" dataDxfId="5"/>
    <tableColumn id="15" xr3:uid="{7BC32FE5-F3F4-4C3F-9D3E-AEC907F66392}" name="per_hr_regular pay" dataDxfId="4"/>
    <tableColumn id="16" xr3:uid="{03149561-F83A-4444-B9F9-8E93CAE504DA}" name="per_hour_overtime_pay" dataDxfId="3"/>
    <tableColumn id="17" xr3:uid="{773BF833-D228-47EB-98AE-1E8EF31E3AC6}" name="Overtime_Paid" dataDxfId="2"/>
    <tableColumn id="18" xr3:uid="{E11A8EEA-D1C2-41B7-8A3A-A26EE324D93F}" name="Net_Salary_Paid_excluding variable pay" dataDxfId="1"/>
    <tableColumn id="19" xr3:uid="{6BC5086A-3FC8-41C4-BB53-7D97C8E2C590}" name="Net_Salary_Paid_including variable pay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T91"/>
  <sheetViews>
    <sheetView topLeftCell="A28" workbookViewId="0">
      <selection activeCell="B45" sqref="B45"/>
    </sheetView>
  </sheetViews>
  <sheetFormatPr defaultRowHeight="14.4" x14ac:dyDescent="0.3"/>
  <cols>
    <col min="1" max="1" width="14" customWidth="1"/>
    <col min="2" max="2" width="18.88671875" bestFit="1" customWidth="1"/>
    <col min="3" max="3" width="13" customWidth="1"/>
    <col min="4" max="4" width="16.44140625" customWidth="1"/>
    <col min="5" max="5" width="13.109375" customWidth="1"/>
    <col min="6" max="6" width="21.5546875" customWidth="1"/>
    <col min="7" max="7" width="22.109375" customWidth="1"/>
    <col min="8" max="8" width="13.21875" customWidth="1"/>
    <col min="10" max="10" width="12.33203125" customWidth="1"/>
    <col min="11" max="11" width="14.5546875" customWidth="1"/>
    <col min="12" max="12" width="17" customWidth="1"/>
    <col min="13" max="13" width="20.44140625" customWidth="1"/>
    <col min="14" max="14" width="23.77734375" customWidth="1"/>
    <col min="15" max="15" width="18.88671875" customWidth="1"/>
    <col min="16" max="16" width="23.33203125" customWidth="1"/>
    <col min="17" max="17" width="15.33203125" customWidth="1"/>
    <col min="18" max="18" width="36.33203125" customWidth="1"/>
    <col min="19" max="19" width="36" customWidth="1"/>
  </cols>
  <sheetData>
    <row r="1" spans="1:19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7" t="s">
        <v>18</v>
      </c>
    </row>
    <row r="2" spans="1:19" x14ac:dyDescent="0.3">
      <c r="A2" s="3" t="s">
        <v>19</v>
      </c>
      <c r="B2" s="2" t="s">
        <v>216</v>
      </c>
      <c r="C2" s="2" t="s">
        <v>413</v>
      </c>
      <c r="D2" s="2">
        <v>737162</v>
      </c>
      <c r="E2" s="2">
        <v>480360</v>
      </c>
      <c r="F2" s="2">
        <v>36024</v>
      </c>
      <c r="G2" s="2">
        <v>4006</v>
      </c>
      <c r="H2" s="2">
        <v>18012</v>
      </c>
      <c r="I2" s="2">
        <v>7204</v>
      </c>
      <c r="J2" s="2">
        <v>10807</v>
      </c>
      <c r="K2" s="2">
        <v>1440</v>
      </c>
      <c r="L2" s="2">
        <v>200</v>
      </c>
      <c r="M2" s="2">
        <v>160</v>
      </c>
      <c r="N2" s="2">
        <v>12</v>
      </c>
      <c r="O2" s="2">
        <v>225.15</v>
      </c>
      <c r="P2" s="2">
        <v>450.3</v>
      </c>
      <c r="Q2" s="2">
        <v>5403.6</v>
      </c>
      <c r="R2" s="2">
        <v>57798.6</v>
      </c>
      <c r="S2" s="4">
        <v>61804.6</v>
      </c>
    </row>
    <row r="3" spans="1:19" x14ac:dyDescent="0.3">
      <c r="A3" s="3" t="s">
        <v>20</v>
      </c>
      <c r="B3" s="2" t="s">
        <v>217</v>
      </c>
      <c r="C3" s="2" t="s">
        <v>414</v>
      </c>
      <c r="D3" s="2">
        <v>737479</v>
      </c>
      <c r="E3" s="2">
        <v>677436</v>
      </c>
      <c r="F3" s="2">
        <v>53741</v>
      </c>
      <c r="G3" s="2">
        <v>2712</v>
      </c>
      <c r="H3" s="2">
        <v>26870</v>
      </c>
      <c r="I3" s="2">
        <v>10748</v>
      </c>
      <c r="J3" s="2">
        <v>16122</v>
      </c>
      <c r="K3" s="2">
        <v>2149</v>
      </c>
      <c r="L3" s="2">
        <v>200</v>
      </c>
      <c r="M3" s="2">
        <v>160</v>
      </c>
      <c r="N3" s="2">
        <v>18</v>
      </c>
      <c r="O3" s="2">
        <v>335.88</v>
      </c>
      <c r="P3" s="2">
        <v>671.76</v>
      </c>
      <c r="Q3" s="2">
        <v>12091.68</v>
      </c>
      <c r="R3" s="2">
        <v>90353.68</v>
      </c>
      <c r="S3" s="4">
        <v>93065.68</v>
      </c>
    </row>
    <row r="4" spans="1:19" x14ac:dyDescent="0.3">
      <c r="A4" s="3" t="s">
        <v>21</v>
      </c>
      <c r="B4" s="2" t="s">
        <v>218</v>
      </c>
      <c r="C4" s="2" t="s">
        <v>413</v>
      </c>
      <c r="D4" s="2">
        <v>737182</v>
      </c>
      <c r="E4" s="2">
        <v>335172</v>
      </c>
      <c r="F4" s="2">
        <v>24140</v>
      </c>
      <c r="G4" s="2">
        <v>3791</v>
      </c>
      <c r="H4" s="2">
        <v>12070</v>
      </c>
      <c r="I4" s="2">
        <v>4828</v>
      </c>
      <c r="J4" s="2">
        <v>7242</v>
      </c>
      <c r="K4" s="2">
        <v>965</v>
      </c>
      <c r="L4" s="2">
        <v>200</v>
      </c>
      <c r="M4" s="2">
        <v>160</v>
      </c>
      <c r="N4" s="2">
        <v>12</v>
      </c>
      <c r="O4" s="2">
        <v>150.88</v>
      </c>
      <c r="P4" s="2">
        <v>301.76</v>
      </c>
      <c r="Q4" s="2">
        <v>3621.12</v>
      </c>
      <c r="R4" s="2">
        <v>38666.120000000003</v>
      </c>
      <c r="S4" s="4">
        <v>42457.120000000003</v>
      </c>
    </row>
    <row r="5" spans="1:19" x14ac:dyDescent="0.3">
      <c r="A5" s="3" t="s">
        <v>22</v>
      </c>
      <c r="B5" s="2" t="s">
        <v>219</v>
      </c>
      <c r="C5" s="2" t="s">
        <v>415</v>
      </c>
      <c r="D5" s="2">
        <v>739525</v>
      </c>
      <c r="E5" s="2">
        <v>316032</v>
      </c>
      <c r="F5" s="2">
        <v>19739</v>
      </c>
      <c r="G5" s="2">
        <v>6597</v>
      </c>
      <c r="H5" s="2">
        <v>9869</v>
      </c>
      <c r="I5" s="2">
        <v>3947</v>
      </c>
      <c r="J5" s="2">
        <v>5921</v>
      </c>
      <c r="K5" s="2">
        <v>789</v>
      </c>
      <c r="L5" s="2">
        <v>200</v>
      </c>
      <c r="M5" s="2">
        <v>160</v>
      </c>
      <c r="N5" s="2">
        <v>11</v>
      </c>
      <c r="O5" s="2">
        <v>123.37</v>
      </c>
      <c r="P5" s="2">
        <v>246.74</v>
      </c>
      <c r="Q5" s="2">
        <v>2714.14</v>
      </c>
      <c r="R5" s="2">
        <v>31332.14</v>
      </c>
      <c r="S5" s="4">
        <v>37929.14</v>
      </c>
    </row>
    <row r="6" spans="1:19" x14ac:dyDescent="0.3">
      <c r="A6" s="3" t="s">
        <v>23</v>
      </c>
      <c r="B6" s="2" t="s">
        <v>220</v>
      </c>
      <c r="C6" s="2" t="s">
        <v>416</v>
      </c>
      <c r="D6" s="2">
        <v>739292</v>
      </c>
      <c r="E6" s="2">
        <v>591576</v>
      </c>
      <c r="F6" s="2">
        <v>45493</v>
      </c>
      <c r="G6" s="2">
        <v>3805</v>
      </c>
      <c r="H6" s="2">
        <v>22746</v>
      </c>
      <c r="I6" s="2">
        <v>9098</v>
      </c>
      <c r="J6" s="2">
        <v>13647</v>
      </c>
      <c r="K6" s="2">
        <v>1819</v>
      </c>
      <c r="L6" s="2">
        <v>200</v>
      </c>
      <c r="M6" s="2">
        <v>160</v>
      </c>
      <c r="N6" s="2">
        <v>19</v>
      </c>
      <c r="O6" s="2">
        <v>284.33</v>
      </c>
      <c r="P6" s="2">
        <v>568.66</v>
      </c>
      <c r="Q6" s="2">
        <v>10804.54</v>
      </c>
      <c r="R6" s="2">
        <v>77023.540000000008</v>
      </c>
      <c r="S6" s="4">
        <v>80828.540000000008</v>
      </c>
    </row>
    <row r="7" spans="1:19" x14ac:dyDescent="0.3">
      <c r="A7" s="3" t="s">
        <v>24</v>
      </c>
      <c r="B7" s="2" t="s">
        <v>221</v>
      </c>
      <c r="C7" s="2" t="s">
        <v>415</v>
      </c>
      <c r="D7" s="2">
        <v>738199</v>
      </c>
      <c r="E7" s="2">
        <v>319692</v>
      </c>
      <c r="F7" s="2">
        <v>18425</v>
      </c>
      <c r="G7" s="2">
        <v>8216</v>
      </c>
      <c r="H7" s="2">
        <v>9212</v>
      </c>
      <c r="I7" s="2">
        <v>3684</v>
      </c>
      <c r="J7" s="2">
        <v>5527</v>
      </c>
      <c r="K7" s="2">
        <v>736</v>
      </c>
      <c r="L7" s="2">
        <v>200</v>
      </c>
      <c r="M7" s="2">
        <v>160</v>
      </c>
      <c r="N7" s="2">
        <v>10</v>
      </c>
      <c r="O7" s="2">
        <v>115.16</v>
      </c>
      <c r="P7" s="2">
        <v>230.32</v>
      </c>
      <c r="Q7" s="2">
        <v>2303.1999999999998</v>
      </c>
      <c r="R7" s="2">
        <v>29003.200000000001</v>
      </c>
      <c r="S7" s="4">
        <v>37219.199999999997</v>
      </c>
    </row>
    <row r="8" spans="1:19" x14ac:dyDescent="0.3">
      <c r="A8" s="3" t="s">
        <v>25</v>
      </c>
      <c r="B8" s="2" t="s">
        <v>222</v>
      </c>
      <c r="C8" s="2" t="s">
        <v>416</v>
      </c>
      <c r="D8" s="2">
        <v>738791</v>
      </c>
      <c r="E8" s="2">
        <v>534888</v>
      </c>
      <c r="F8" s="2">
        <v>40298</v>
      </c>
      <c r="G8" s="2">
        <v>4276</v>
      </c>
      <c r="H8" s="2">
        <v>20149</v>
      </c>
      <c r="I8" s="2">
        <v>8059</v>
      </c>
      <c r="J8" s="2">
        <v>12089</v>
      </c>
      <c r="K8" s="2">
        <v>1611</v>
      </c>
      <c r="L8" s="2">
        <v>200</v>
      </c>
      <c r="M8" s="2">
        <v>160</v>
      </c>
      <c r="N8" s="2">
        <v>9</v>
      </c>
      <c r="O8" s="2">
        <v>251.86</v>
      </c>
      <c r="P8" s="2">
        <v>503.72</v>
      </c>
      <c r="Q8" s="2">
        <v>4533.4799999999996</v>
      </c>
      <c r="R8" s="2">
        <v>63168.480000000003</v>
      </c>
      <c r="S8" s="4">
        <v>67444.479999999996</v>
      </c>
    </row>
    <row r="9" spans="1:19" x14ac:dyDescent="0.3">
      <c r="A9" s="3" t="s">
        <v>26</v>
      </c>
      <c r="B9" s="2" t="s">
        <v>223</v>
      </c>
      <c r="C9" s="2" t="s">
        <v>414</v>
      </c>
      <c r="D9" s="2">
        <v>738438</v>
      </c>
      <c r="E9" s="2">
        <v>329484</v>
      </c>
      <c r="F9" s="2">
        <v>24698</v>
      </c>
      <c r="G9" s="2">
        <v>2759</v>
      </c>
      <c r="H9" s="2">
        <v>12349</v>
      </c>
      <c r="I9" s="2">
        <v>4939</v>
      </c>
      <c r="J9" s="2">
        <v>7409</v>
      </c>
      <c r="K9" s="2">
        <v>987</v>
      </c>
      <c r="L9" s="2">
        <v>200</v>
      </c>
      <c r="M9" s="2">
        <v>160</v>
      </c>
      <c r="N9" s="2">
        <v>17</v>
      </c>
      <c r="O9" s="2">
        <v>154.36000000000001</v>
      </c>
      <c r="P9" s="2">
        <v>308.72000000000003</v>
      </c>
      <c r="Q9" s="2">
        <v>5248.24</v>
      </c>
      <c r="R9" s="2">
        <v>41107.24</v>
      </c>
      <c r="S9" s="4">
        <v>43866.239999999998</v>
      </c>
    </row>
    <row r="10" spans="1:19" x14ac:dyDescent="0.3">
      <c r="A10" s="3" t="s">
        <v>27</v>
      </c>
      <c r="B10" s="2" t="s">
        <v>224</v>
      </c>
      <c r="C10" s="2" t="s">
        <v>413</v>
      </c>
      <c r="D10" s="2">
        <v>738530</v>
      </c>
      <c r="E10" s="2">
        <v>569832</v>
      </c>
      <c r="F10" s="2">
        <v>40541</v>
      </c>
      <c r="G10" s="2">
        <v>6945</v>
      </c>
      <c r="H10" s="2">
        <v>20270</v>
      </c>
      <c r="I10" s="2">
        <v>8108</v>
      </c>
      <c r="J10" s="2">
        <v>12162</v>
      </c>
      <c r="K10" s="2">
        <v>1621</v>
      </c>
      <c r="L10" s="2">
        <v>200</v>
      </c>
      <c r="M10" s="2">
        <v>160</v>
      </c>
      <c r="N10" s="2">
        <v>13</v>
      </c>
      <c r="O10" s="2">
        <v>253.38</v>
      </c>
      <c r="P10" s="2">
        <v>506.76</v>
      </c>
      <c r="Q10" s="2">
        <v>6587.88</v>
      </c>
      <c r="R10" s="2">
        <v>65577.88</v>
      </c>
      <c r="S10" s="4">
        <v>72522.880000000005</v>
      </c>
    </row>
    <row r="11" spans="1:19" x14ac:dyDescent="0.3">
      <c r="A11" s="3" t="s">
        <v>28</v>
      </c>
      <c r="B11" s="2" t="s">
        <v>225</v>
      </c>
      <c r="C11" s="2" t="s">
        <v>417</v>
      </c>
      <c r="D11" s="2">
        <v>737237</v>
      </c>
      <c r="E11" s="2">
        <v>654000</v>
      </c>
      <c r="F11" s="2">
        <v>48108</v>
      </c>
      <c r="G11" s="2">
        <v>6392</v>
      </c>
      <c r="H11" s="2">
        <v>24054</v>
      </c>
      <c r="I11" s="2">
        <v>9621</v>
      </c>
      <c r="J11" s="2">
        <v>14432</v>
      </c>
      <c r="K11" s="2">
        <v>1924</v>
      </c>
      <c r="L11" s="2">
        <v>200</v>
      </c>
      <c r="M11" s="2">
        <v>160</v>
      </c>
      <c r="N11" s="2">
        <v>8</v>
      </c>
      <c r="O11" s="2">
        <v>300.68</v>
      </c>
      <c r="P11" s="2">
        <v>601.36</v>
      </c>
      <c r="Q11" s="2">
        <v>4810.88</v>
      </c>
      <c r="R11" s="2">
        <v>74847.88</v>
      </c>
      <c r="S11" s="4">
        <v>81239.88</v>
      </c>
    </row>
    <row r="12" spans="1:19" x14ac:dyDescent="0.3">
      <c r="A12" s="3" t="s">
        <v>29</v>
      </c>
      <c r="B12" s="2" t="s">
        <v>226</v>
      </c>
      <c r="C12" s="2" t="s">
        <v>418</v>
      </c>
      <c r="D12" s="2">
        <v>737382</v>
      </c>
      <c r="E12" s="2">
        <v>702948</v>
      </c>
      <c r="F12" s="2">
        <v>54178</v>
      </c>
      <c r="G12" s="2">
        <v>4401</v>
      </c>
      <c r="H12" s="2">
        <v>27089</v>
      </c>
      <c r="I12" s="2">
        <v>10835</v>
      </c>
      <c r="J12" s="2">
        <v>16253</v>
      </c>
      <c r="K12" s="2">
        <v>2167</v>
      </c>
      <c r="L12" s="2">
        <v>200</v>
      </c>
      <c r="M12" s="2">
        <v>160</v>
      </c>
      <c r="N12" s="2">
        <v>16</v>
      </c>
      <c r="O12" s="2">
        <v>338.61</v>
      </c>
      <c r="P12" s="2">
        <v>677.22</v>
      </c>
      <c r="Q12" s="2">
        <v>10835.52</v>
      </c>
      <c r="R12" s="2">
        <v>89734.52</v>
      </c>
      <c r="S12" s="4">
        <v>94135.52</v>
      </c>
    </row>
    <row r="13" spans="1:19" x14ac:dyDescent="0.3">
      <c r="A13" s="3" t="s">
        <v>30</v>
      </c>
      <c r="B13" s="2" t="s">
        <v>227</v>
      </c>
      <c r="C13" s="2" t="s">
        <v>415</v>
      </c>
      <c r="D13" s="2">
        <v>737847</v>
      </c>
      <c r="E13" s="2">
        <v>299196</v>
      </c>
      <c r="F13" s="2">
        <v>22558</v>
      </c>
      <c r="G13" s="2">
        <v>2375</v>
      </c>
      <c r="H13" s="2">
        <v>11279</v>
      </c>
      <c r="I13" s="2">
        <v>4511</v>
      </c>
      <c r="J13" s="2">
        <v>6767</v>
      </c>
      <c r="K13" s="2">
        <v>902</v>
      </c>
      <c r="L13" s="2">
        <v>200</v>
      </c>
      <c r="M13" s="2">
        <v>160</v>
      </c>
      <c r="N13" s="2">
        <v>12</v>
      </c>
      <c r="O13" s="2">
        <v>140.99</v>
      </c>
      <c r="P13" s="2">
        <v>281.98</v>
      </c>
      <c r="Q13" s="2">
        <v>3383.76</v>
      </c>
      <c r="R13" s="2">
        <v>36117.760000000002</v>
      </c>
      <c r="S13" s="4">
        <v>38492.76</v>
      </c>
    </row>
    <row r="14" spans="1:19" x14ac:dyDescent="0.3">
      <c r="A14" s="3" t="s">
        <v>31</v>
      </c>
      <c r="B14" s="2" t="s">
        <v>228</v>
      </c>
      <c r="C14" s="2" t="s">
        <v>417</v>
      </c>
      <c r="D14" s="2">
        <v>738245</v>
      </c>
      <c r="E14" s="2">
        <v>386820</v>
      </c>
      <c r="F14" s="2">
        <v>23229</v>
      </c>
      <c r="G14" s="2">
        <v>9006</v>
      </c>
      <c r="H14" s="2">
        <v>11614</v>
      </c>
      <c r="I14" s="2">
        <v>4645</v>
      </c>
      <c r="J14" s="2">
        <v>6968</v>
      </c>
      <c r="K14" s="2">
        <v>929</v>
      </c>
      <c r="L14" s="2">
        <v>200</v>
      </c>
      <c r="M14" s="2">
        <v>160</v>
      </c>
      <c r="N14" s="2">
        <v>12</v>
      </c>
      <c r="O14" s="2">
        <v>145.18</v>
      </c>
      <c r="P14" s="2">
        <v>290.36</v>
      </c>
      <c r="Q14" s="2">
        <v>3484.32</v>
      </c>
      <c r="R14" s="2">
        <v>37197.32</v>
      </c>
      <c r="S14" s="4">
        <v>46203.32</v>
      </c>
    </row>
    <row r="15" spans="1:19" x14ac:dyDescent="0.3">
      <c r="A15" s="3" t="s">
        <v>32</v>
      </c>
      <c r="B15" s="2" t="s">
        <v>229</v>
      </c>
      <c r="C15" s="2" t="s">
        <v>417</v>
      </c>
      <c r="D15" s="2">
        <v>737473</v>
      </c>
      <c r="E15" s="2">
        <v>566256</v>
      </c>
      <c r="F15" s="2">
        <v>42911</v>
      </c>
      <c r="G15" s="2">
        <v>4277</v>
      </c>
      <c r="H15" s="2">
        <v>21455</v>
      </c>
      <c r="I15" s="2">
        <v>8582</v>
      </c>
      <c r="J15" s="2">
        <v>12873</v>
      </c>
      <c r="K15" s="2">
        <v>1716</v>
      </c>
      <c r="L15" s="2">
        <v>200</v>
      </c>
      <c r="M15" s="2">
        <v>160</v>
      </c>
      <c r="N15" s="2">
        <v>19</v>
      </c>
      <c r="O15" s="2">
        <v>268.19</v>
      </c>
      <c r="P15" s="2">
        <v>536.38</v>
      </c>
      <c r="Q15" s="2">
        <v>10191.219999999999</v>
      </c>
      <c r="R15" s="2">
        <v>72641.22</v>
      </c>
      <c r="S15" s="4">
        <v>76918.22</v>
      </c>
    </row>
    <row r="16" spans="1:19" x14ac:dyDescent="0.3">
      <c r="A16" s="3" t="s">
        <v>33</v>
      </c>
      <c r="B16" s="2" t="s">
        <v>230</v>
      </c>
      <c r="C16" s="2" t="s">
        <v>416</v>
      </c>
      <c r="D16" s="2">
        <v>738554</v>
      </c>
      <c r="E16" s="2">
        <v>404292</v>
      </c>
      <c r="F16" s="2">
        <v>28659</v>
      </c>
      <c r="G16" s="2">
        <v>5032</v>
      </c>
      <c r="H16" s="2">
        <v>14329</v>
      </c>
      <c r="I16" s="2">
        <v>5731</v>
      </c>
      <c r="J16" s="2">
        <v>8597</v>
      </c>
      <c r="K16" s="2">
        <v>1146</v>
      </c>
      <c r="L16" s="2">
        <v>200</v>
      </c>
      <c r="M16" s="2">
        <v>160</v>
      </c>
      <c r="N16" s="2">
        <v>16</v>
      </c>
      <c r="O16" s="2">
        <v>179.12</v>
      </c>
      <c r="P16" s="2">
        <v>358.24</v>
      </c>
      <c r="Q16" s="2">
        <v>5731.84</v>
      </c>
      <c r="R16" s="2">
        <v>47372.84</v>
      </c>
      <c r="S16" s="4">
        <v>52404.84</v>
      </c>
    </row>
    <row r="17" spans="1:19" x14ac:dyDescent="0.3">
      <c r="A17" s="3" t="s">
        <v>34</v>
      </c>
      <c r="B17" s="2" t="s">
        <v>231</v>
      </c>
      <c r="C17" s="2" t="s">
        <v>414</v>
      </c>
      <c r="D17" s="2">
        <v>738153</v>
      </c>
      <c r="E17" s="2">
        <v>356028</v>
      </c>
      <c r="F17" s="2">
        <v>22679</v>
      </c>
      <c r="G17" s="2">
        <v>6990</v>
      </c>
      <c r="H17" s="2">
        <v>11339</v>
      </c>
      <c r="I17" s="2">
        <v>4535</v>
      </c>
      <c r="J17" s="2">
        <v>6803</v>
      </c>
      <c r="K17" s="2">
        <v>907</v>
      </c>
      <c r="L17" s="2">
        <v>200</v>
      </c>
      <c r="M17" s="2">
        <v>160</v>
      </c>
      <c r="N17" s="2">
        <v>10</v>
      </c>
      <c r="O17" s="2">
        <v>141.74</v>
      </c>
      <c r="P17" s="2">
        <v>283.48</v>
      </c>
      <c r="Q17" s="2">
        <v>2834.8</v>
      </c>
      <c r="R17" s="2">
        <v>35744.800000000003</v>
      </c>
      <c r="S17" s="4">
        <v>42734.8</v>
      </c>
    </row>
    <row r="18" spans="1:19" x14ac:dyDescent="0.3">
      <c r="A18" s="3" t="s">
        <v>35</v>
      </c>
      <c r="B18" s="2" t="s">
        <v>232</v>
      </c>
      <c r="C18" s="2" t="s">
        <v>415</v>
      </c>
      <c r="D18" s="2">
        <v>738062</v>
      </c>
      <c r="E18" s="2">
        <v>413928</v>
      </c>
      <c r="F18" s="2">
        <v>28708</v>
      </c>
      <c r="G18" s="2">
        <v>5786</v>
      </c>
      <c r="H18" s="2">
        <v>14354</v>
      </c>
      <c r="I18" s="2">
        <v>5741</v>
      </c>
      <c r="J18" s="2">
        <v>8612</v>
      </c>
      <c r="K18" s="2">
        <v>1148</v>
      </c>
      <c r="L18" s="2">
        <v>200</v>
      </c>
      <c r="M18" s="2">
        <v>160</v>
      </c>
      <c r="N18" s="2">
        <v>17</v>
      </c>
      <c r="O18" s="2">
        <v>179.43</v>
      </c>
      <c r="P18" s="2">
        <v>358.86</v>
      </c>
      <c r="Q18" s="2">
        <v>6100.62</v>
      </c>
      <c r="R18" s="2">
        <v>47813.62</v>
      </c>
      <c r="S18" s="4">
        <v>53599.62</v>
      </c>
    </row>
    <row r="19" spans="1:19" x14ac:dyDescent="0.3">
      <c r="A19" s="3" t="s">
        <v>36</v>
      </c>
      <c r="B19" s="2" t="s">
        <v>233</v>
      </c>
      <c r="C19" s="2" t="s">
        <v>419</v>
      </c>
      <c r="D19" s="2">
        <v>739341</v>
      </c>
      <c r="E19" s="2">
        <v>480000</v>
      </c>
      <c r="F19" s="2">
        <v>32392</v>
      </c>
      <c r="G19" s="2">
        <v>7608</v>
      </c>
      <c r="H19" s="2">
        <v>16196</v>
      </c>
      <c r="I19" s="2">
        <v>6478</v>
      </c>
      <c r="J19" s="2">
        <v>9717</v>
      </c>
      <c r="K19" s="2">
        <v>1295</v>
      </c>
      <c r="L19" s="2">
        <v>200</v>
      </c>
      <c r="M19" s="2">
        <v>160</v>
      </c>
      <c r="N19" s="2">
        <v>15</v>
      </c>
      <c r="O19" s="2">
        <v>202.45</v>
      </c>
      <c r="P19" s="2">
        <v>404.9</v>
      </c>
      <c r="Q19" s="2">
        <v>6073.5</v>
      </c>
      <c r="R19" s="2">
        <v>53165.5</v>
      </c>
      <c r="S19" s="4">
        <v>60773.5</v>
      </c>
    </row>
    <row r="20" spans="1:19" x14ac:dyDescent="0.3">
      <c r="A20" s="3" t="s">
        <v>37</v>
      </c>
      <c r="B20" s="2" t="s">
        <v>234</v>
      </c>
      <c r="C20" s="2" t="s">
        <v>417</v>
      </c>
      <c r="D20" s="2">
        <v>737289</v>
      </c>
      <c r="E20" s="2">
        <v>500904</v>
      </c>
      <c r="F20" s="2">
        <v>33010</v>
      </c>
      <c r="G20" s="2">
        <v>8732</v>
      </c>
      <c r="H20" s="2">
        <v>16505</v>
      </c>
      <c r="I20" s="2">
        <v>6602</v>
      </c>
      <c r="J20" s="2">
        <v>9903</v>
      </c>
      <c r="K20" s="2">
        <v>1320</v>
      </c>
      <c r="L20" s="2">
        <v>200</v>
      </c>
      <c r="M20" s="2">
        <v>160</v>
      </c>
      <c r="N20" s="2">
        <v>6</v>
      </c>
      <c r="O20" s="2">
        <v>206.31</v>
      </c>
      <c r="P20" s="2">
        <v>412.62</v>
      </c>
      <c r="Q20" s="2">
        <v>2475.7199999999998</v>
      </c>
      <c r="R20" s="2">
        <v>50470.720000000001</v>
      </c>
      <c r="S20" s="4">
        <v>59202.720000000001</v>
      </c>
    </row>
    <row r="21" spans="1:19" x14ac:dyDescent="0.3">
      <c r="A21" s="3" t="s">
        <v>38</v>
      </c>
      <c r="B21" s="2" t="s">
        <v>235</v>
      </c>
      <c r="C21" s="2" t="s">
        <v>417</v>
      </c>
      <c r="D21" s="2">
        <v>738352</v>
      </c>
      <c r="E21" s="2">
        <v>581796</v>
      </c>
      <c r="F21" s="2">
        <v>44290</v>
      </c>
      <c r="G21" s="2">
        <v>4193</v>
      </c>
      <c r="H21" s="2">
        <v>22145</v>
      </c>
      <c r="I21" s="2">
        <v>8858</v>
      </c>
      <c r="J21" s="2">
        <v>13287</v>
      </c>
      <c r="K21" s="2">
        <v>1771</v>
      </c>
      <c r="L21" s="2">
        <v>200</v>
      </c>
      <c r="M21" s="2">
        <v>160</v>
      </c>
      <c r="N21" s="2">
        <v>7</v>
      </c>
      <c r="O21" s="2">
        <v>276.81</v>
      </c>
      <c r="P21" s="2">
        <v>553.62</v>
      </c>
      <c r="Q21" s="2">
        <v>3875.34</v>
      </c>
      <c r="R21" s="2">
        <v>68339.34</v>
      </c>
      <c r="S21" s="4">
        <v>72532.34</v>
      </c>
    </row>
    <row r="22" spans="1:19" x14ac:dyDescent="0.3">
      <c r="A22" s="3" t="s">
        <v>39</v>
      </c>
      <c r="B22" s="2" t="s">
        <v>236</v>
      </c>
      <c r="C22" s="2" t="s">
        <v>414</v>
      </c>
      <c r="D22" s="2">
        <v>739383</v>
      </c>
      <c r="E22" s="2">
        <v>508356</v>
      </c>
      <c r="F22" s="2">
        <v>38622</v>
      </c>
      <c r="G22" s="2">
        <v>3741</v>
      </c>
      <c r="H22" s="2">
        <v>19311</v>
      </c>
      <c r="I22" s="2">
        <v>7724</v>
      </c>
      <c r="J22" s="2">
        <v>11586</v>
      </c>
      <c r="K22" s="2">
        <v>1544</v>
      </c>
      <c r="L22" s="2">
        <v>200</v>
      </c>
      <c r="M22" s="2">
        <v>160</v>
      </c>
      <c r="N22" s="2">
        <v>20</v>
      </c>
      <c r="O22" s="2">
        <v>241.39</v>
      </c>
      <c r="P22" s="2">
        <v>482.78</v>
      </c>
      <c r="Q22" s="2">
        <v>9655.6</v>
      </c>
      <c r="R22" s="2">
        <v>65843.600000000006</v>
      </c>
      <c r="S22" s="4">
        <v>69584.600000000006</v>
      </c>
    </row>
    <row r="23" spans="1:19" x14ac:dyDescent="0.3">
      <c r="A23" s="3" t="s">
        <v>40</v>
      </c>
      <c r="B23" s="2" t="s">
        <v>237</v>
      </c>
      <c r="C23" s="2" t="s">
        <v>418</v>
      </c>
      <c r="D23" s="2">
        <v>738939</v>
      </c>
      <c r="E23" s="2">
        <v>378384</v>
      </c>
      <c r="F23" s="2">
        <v>27363</v>
      </c>
      <c r="G23" s="2">
        <v>4169</v>
      </c>
      <c r="H23" s="2">
        <v>13681</v>
      </c>
      <c r="I23" s="2">
        <v>5472</v>
      </c>
      <c r="J23" s="2">
        <v>8208</v>
      </c>
      <c r="K23" s="2">
        <v>1094</v>
      </c>
      <c r="L23" s="2">
        <v>200</v>
      </c>
      <c r="M23" s="2">
        <v>160</v>
      </c>
      <c r="N23" s="2">
        <v>9</v>
      </c>
      <c r="O23" s="2">
        <v>171.02</v>
      </c>
      <c r="P23" s="2">
        <v>342.04</v>
      </c>
      <c r="Q23" s="2">
        <v>3078.36</v>
      </c>
      <c r="R23" s="2">
        <v>42827.360000000001</v>
      </c>
      <c r="S23" s="4">
        <v>46996.36</v>
      </c>
    </row>
    <row r="24" spans="1:19" x14ac:dyDescent="0.3">
      <c r="A24" s="3" t="s">
        <v>41</v>
      </c>
      <c r="B24" s="2" t="s">
        <v>238</v>
      </c>
      <c r="C24" s="2" t="s">
        <v>414</v>
      </c>
      <c r="D24" s="2">
        <v>739359</v>
      </c>
      <c r="E24" s="2">
        <v>689688</v>
      </c>
      <c r="F24" s="2">
        <v>53322</v>
      </c>
      <c r="G24" s="2">
        <v>4152</v>
      </c>
      <c r="H24" s="2">
        <v>26661</v>
      </c>
      <c r="I24" s="2">
        <v>10664</v>
      </c>
      <c r="J24" s="2">
        <v>15996</v>
      </c>
      <c r="K24" s="2">
        <v>2132</v>
      </c>
      <c r="L24" s="2">
        <v>200</v>
      </c>
      <c r="M24" s="2">
        <v>160</v>
      </c>
      <c r="N24" s="2">
        <v>18</v>
      </c>
      <c r="O24" s="2">
        <v>333.26</v>
      </c>
      <c r="P24" s="2">
        <v>666.52</v>
      </c>
      <c r="Q24" s="2">
        <v>11997.36</v>
      </c>
      <c r="R24" s="2">
        <v>89647.360000000001</v>
      </c>
      <c r="S24" s="4">
        <v>93799.360000000001</v>
      </c>
    </row>
    <row r="25" spans="1:19" x14ac:dyDescent="0.3">
      <c r="A25" s="3" t="s">
        <v>42</v>
      </c>
      <c r="B25" s="2" t="s">
        <v>239</v>
      </c>
      <c r="C25" s="2" t="s">
        <v>415</v>
      </c>
      <c r="D25" s="2">
        <v>738695</v>
      </c>
      <c r="E25" s="2">
        <v>546228</v>
      </c>
      <c r="F25" s="2">
        <v>41723</v>
      </c>
      <c r="G25" s="2">
        <v>3796</v>
      </c>
      <c r="H25" s="2">
        <v>20861</v>
      </c>
      <c r="I25" s="2">
        <v>8344</v>
      </c>
      <c r="J25" s="2">
        <v>12516</v>
      </c>
      <c r="K25" s="2">
        <v>1668</v>
      </c>
      <c r="L25" s="2">
        <v>200</v>
      </c>
      <c r="M25" s="2">
        <v>160</v>
      </c>
      <c r="N25" s="2">
        <v>9</v>
      </c>
      <c r="O25" s="2">
        <v>260.77</v>
      </c>
      <c r="P25" s="2">
        <v>521.54</v>
      </c>
      <c r="Q25" s="2">
        <v>4693.8599999999997</v>
      </c>
      <c r="R25" s="2">
        <v>65408.86</v>
      </c>
      <c r="S25" s="4">
        <v>69204.86</v>
      </c>
    </row>
    <row r="26" spans="1:19" x14ac:dyDescent="0.3">
      <c r="A26" s="3" t="s">
        <v>43</v>
      </c>
      <c r="B26" s="2" t="s">
        <v>240</v>
      </c>
      <c r="C26" s="2" t="s">
        <v>415</v>
      </c>
      <c r="D26" s="2">
        <v>739081</v>
      </c>
      <c r="E26" s="2">
        <v>385776</v>
      </c>
      <c r="F26" s="2">
        <v>23957</v>
      </c>
      <c r="G26" s="2">
        <v>8191</v>
      </c>
      <c r="H26" s="2">
        <v>11978</v>
      </c>
      <c r="I26" s="2">
        <v>4791</v>
      </c>
      <c r="J26" s="2">
        <v>7187</v>
      </c>
      <c r="K26" s="2">
        <v>958</v>
      </c>
      <c r="L26" s="2">
        <v>200</v>
      </c>
      <c r="M26" s="2">
        <v>160</v>
      </c>
      <c r="N26" s="2">
        <v>6</v>
      </c>
      <c r="O26" s="2">
        <v>149.72999999999999</v>
      </c>
      <c r="P26" s="2">
        <v>299.45999999999998</v>
      </c>
      <c r="Q26" s="2">
        <v>1796.76</v>
      </c>
      <c r="R26" s="2">
        <v>36573.760000000002</v>
      </c>
      <c r="S26" s="4">
        <v>44764.76</v>
      </c>
    </row>
    <row r="27" spans="1:19" x14ac:dyDescent="0.3">
      <c r="A27" s="3" t="s">
        <v>44</v>
      </c>
      <c r="B27" s="2" t="s">
        <v>241</v>
      </c>
      <c r="C27" s="2" t="s">
        <v>417</v>
      </c>
      <c r="D27" s="2">
        <v>737509</v>
      </c>
      <c r="E27" s="2">
        <v>421872</v>
      </c>
      <c r="F27" s="2">
        <v>28016</v>
      </c>
      <c r="G27" s="2">
        <v>7140</v>
      </c>
      <c r="H27" s="2">
        <v>14008</v>
      </c>
      <c r="I27" s="2">
        <v>5603</v>
      </c>
      <c r="J27" s="2">
        <v>8404</v>
      </c>
      <c r="K27" s="2">
        <v>1120</v>
      </c>
      <c r="L27" s="2">
        <v>200</v>
      </c>
      <c r="M27" s="2">
        <v>160</v>
      </c>
      <c r="N27" s="2">
        <v>10</v>
      </c>
      <c r="O27" s="2">
        <v>175.1</v>
      </c>
      <c r="P27" s="2">
        <v>350.2</v>
      </c>
      <c r="Q27" s="2">
        <v>3502</v>
      </c>
      <c r="R27" s="2">
        <v>44205</v>
      </c>
      <c r="S27" s="4">
        <v>51345</v>
      </c>
    </row>
    <row r="28" spans="1:19" x14ac:dyDescent="0.3">
      <c r="A28" s="3" t="s">
        <v>45</v>
      </c>
      <c r="B28" s="2" t="s">
        <v>242</v>
      </c>
      <c r="C28" s="2" t="s">
        <v>417</v>
      </c>
      <c r="D28" s="2">
        <v>738789</v>
      </c>
      <c r="E28" s="2">
        <v>715272</v>
      </c>
      <c r="F28" s="2">
        <v>57086</v>
      </c>
      <c r="G28" s="2">
        <v>2520</v>
      </c>
      <c r="H28" s="2">
        <v>28543</v>
      </c>
      <c r="I28" s="2">
        <v>11417</v>
      </c>
      <c r="J28" s="2">
        <v>17125</v>
      </c>
      <c r="K28" s="2">
        <v>2283</v>
      </c>
      <c r="L28" s="2">
        <v>200</v>
      </c>
      <c r="M28" s="2">
        <v>160</v>
      </c>
      <c r="N28" s="2">
        <v>17</v>
      </c>
      <c r="O28" s="2">
        <v>356.79</v>
      </c>
      <c r="P28" s="2">
        <v>713.58</v>
      </c>
      <c r="Q28" s="2">
        <v>12130.86</v>
      </c>
      <c r="R28" s="2">
        <v>95275.86</v>
      </c>
      <c r="S28" s="4">
        <v>97795.86</v>
      </c>
    </row>
    <row r="29" spans="1:19" x14ac:dyDescent="0.3">
      <c r="A29" s="3" t="s">
        <v>46</v>
      </c>
      <c r="B29" s="2" t="s">
        <v>243</v>
      </c>
      <c r="C29" s="2" t="s">
        <v>418</v>
      </c>
      <c r="D29" s="2">
        <v>739500</v>
      </c>
      <c r="E29" s="2">
        <v>660096</v>
      </c>
      <c r="F29" s="2">
        <v>48674</v>
      </c>
      <c r="G29" s="2">
        <v>6334</v>
      </c>
      <c r="H29" s="2">
        <v>24337</v>
      </c>
      <c r="I29" s="2">
        <v>9734</v>
      </c>
      <c r="J29" s="2">
        <v>14602</v>
      </c>
      <c r="K29" s="2">
        <v>1946</v>
      </c>
      <c r="L29" s="2">
        <v>200</v>
      </c>
      <c r="M29" s="2">
        <v>160</v>
      </c>
      <c r="N29" s="2">
        <v>13</v>
      </c>
      <c r="O29" s="2">
        <v>304.20999999999998</v>
      </c>
      <c r="P29" s="2">
        <v>608.41999999999996</v>
      </c>
      <c r="Q29" s="2">
        <v>7909.46</v>
      </c>
      <c r="R29" s="2">
        <v>78773.460000000006</v>
      </c>
      <c r="S29" s="4">
        <v>85107.46</v>
      </c>
    </row>
    <row r="30" spans="1:19" x14ac:dyDescent="0.3">
      <c r="A30" s="3" t="s">
        <v>47</v>
      </c>
      <c r="B30" s="2" t="s">
        <v>244</v>
      </c>
      <c r="C30" s="2" t="s">
        <v>415</v>
      </c>
      <c r="D30" s="2">
        <v>737107</v>
      </c>
      <c r="E30" s="2">
        <v>397092</v>
      </c>
      <c r="F30" s="2">
        <v>25507</v>
      </c>
      <c r="G30" s="2">
        <v>7584</v>
      </c>
      <c r="H30" s="2">
        <v>12753</v>
      </c>
      <c r="I30" s="2">
        <v>5101</v>
      </c>
      <c r="J30" s="2">
        <v>7652</v>
      </c>
      <c r="K30" s="2">
        <v>1020</v>
      </c>
      <c r="L30" s="2">
        <v>200</v>
      </c>
      <c r="M30" s="2">
        <v>160</v>
      </c>
      <c r="N30" s="2">
        <v>13</v>
      </c>
      <c r="O30" s="2">
        <v>159.41999999999999</v>
      </c>
      <c r="P30" s="2">
        <v>318.83999999999997</v>
      </c>
      <c r="Q30" s="2">
        <v>4144.92</v>
      </c>
      <c r="R30" s="2">
        <v>41184.92</v>
      </c>
      <c r="S30" s="4">
        <v>48768.92</v>
      </c>
    </row>
    <row r="31" spans="1:19" x14ac:dyDescent="0.3">
      <c r="A31" s="3" t="s">
        <v>48</v>
      </c>
      <c r="B31" s="2" t="s">
        <v>245</v>
      </c>
      <c r="C31" s="2" t="s">
        <v>417</v>
      </c>
      <c r="D31" s="2">
        <v>738453</v>
      </c>
      <c r="E31" s="2">
        <v>356568</v>
      </c>
      <c r="F31" s="2">
        <v>25310</v>
      </c>
      <c r="G31" s="2">
        <v>4404</v>
      </c>
      <c r="H31" s="2">
        <v>12655</v>
      </c>
      <c r="I31" s="2">
        <v>5062</v>
      </c>
      <c r="J31" s="2">
        <v>7593</v>
      </c>
      <c r="K31" s="2">
        <v>1012</v>
      </c>
      <c r="L31" s="2">
        <v>200</v>
      </c>
      <c r="M31" s="2">
        <v>160</v>
      </c>
      <c r="N31" s="2">
        <v>18</v>
      </c>
      <c r="O31" s="2">
        <v>158.19</v>
      </c>
      <c r="P31" s="2">
        <v>316.38</v>
      </c>
      <c r="Q31" s="2">
        <v>5694.84</v>
      </c>
      <c r="R31" s="2">
        <v>42447.839999999997</v>
      </c>
      <c r="S31" s="4">
        <v>46851.839999999997</v>
      </c>
    </row>
    <row r="32" spans="1:19" x14ac:dyDescent="0.3">
      <c r="A32" s="3" t="s">
        <v>49</v>
      </c>
      <c r="B32" s="2" t="s">
        <v>246</v>
      </c>
      <c r="C32" s="2" t="s">
        <v>414</v>
      </c>
      <c r="D32" s="2">
        <v>738918</v>
      </c>
      <c r="E32" s="2">
        <v>336300</v>
      </c>
      <c r="F32" s="2">
        <v>18212</v>
      </c>
      <c r="G32" s="2">
        <v>9813</v>
      </c>
      <c r="H32" s="2">
        <v>9106</v>
      </c>
      <c r="I32" s="2">
        <v>3642</v>
      </c>
      <c r="J32" s="2">
        <v>5463</v>
      </c>
      <c r="K32" s="2">
        <v>728</v>
      </c>
      <c r="L32" s="2">
        <v>200</v>
      </c>
      <c r="M32" s="2">
        <v>160</v>
      </c>
      <c r="N32" s="2">
        <v>13</v>
      </c>
      <c r="O32" s="2">
        <v>113.83</v>
      </c>
      <c r="P32" s="2">
        <v>227.66</v>
      </c>
      <c r="Q32" s="2">
        <v>2959.58</v>
      </c>
      <c r="R32" s="2">
        <v>29348.58</v>
      </c>
      <c r="S32" s="4">
        <v>39161.58</v>
      </c>
    </row>
    <row r="33" spans="1:20" x14ac:dyDescent="0.3">
      <c r="A33" s="3" t="s">
        <v>50</v>
      </c>
      <c r="B33" s="2" t="s">
        <v>247</v>
      </c>
      <c r="C33" s="2" t="s">
        <v>415</v>
      </c>
      <c r="D33" s="2">
        <v>737791</v>
      </c>
      <c r="E33" s="2">
        <v>728964</v>
      </c>
      <c r="F33" s="2">
        <v>51271</v>
      </c>
      <c r="G33" s="2">
        <v>9476</v>
      </c>
      <c r="H33" s="2">
        <v>25635</v>
      </c>
      <c r="I33" s="2">
        <v>10254</v>
      </c>
      <c r="J33" s="2">
        <v>15381</v>
      </c>
      <c r="K33" s="2">
        <v>2050</v>
      </c>
      <c r="L33" s="2">
        <v>200</v>
      </c>
      <c r="M33" s="2">
        <v>160</v>
      </c>
      <c r="N33" s="2">
        <v>8</v>
      </c>
      <c r="O33" s="2">
        <v>320.44</v>
      </c>
      <c r="P33" s="2">
        <v>640.88</v>
      </c>
      <c r="Q33" s="2">
        <v>5127.04</v>
      </c>
      <c r="R33" s="2">
        <v>79783.039999999994</v>
      </c>
      <c r="S33" s="4">
        <v>89259.04</v>
      </c>
    </row>
    <row r="34" spans="1:20" x14ac:dyDescent="0.3">
      <c r="A34" s="3" t="s">
        <v>51</v>
      </c>
      <c r="B34" s="2" t="s">
        <v>248</v>
      </c>
      <c r="C34" s="2" t="s">
        <v>417</v>
      </c>
      <c r="D34" s="2">
        <v>738282</v>
      </c>
      <c r="E34" s="2">
        <v>792384</v>
      </c>
      <c r="F34" s="2">
        <v>59874</v>
      </c>
      <c r="G34" s="2">
        <v>6158</v>
      </c>
      <c r="H34" s="2">
        <v>29937</v>
      </c>
      <c r="I34" s="2">
        <v>11974</v>
      </c>
      <c r="J34" s="2">
        <v>17962</v>
      </c>
      <c r="K34" s="2">
        <v>2394</v>
      </c>
      <c r="L34" s="2">
        <v>200</v>
      </c>
      <c r="M34" s="2">
        <v>160</v>
      </c>
      <c r="N34" s="2">
        <v>11</v>
      </c>
      <c r="O34" s="2">
        <v>374.21</v>
      </c>
      <c r="P34" s="2">
        <v>748.42</v>
      </c>
      <c r="Q34" s="2">
        <v>8232.6200000000008</v>
      </c>
      <c r="R34" s="2">
        <v>95448.62</v>
      </c>
      <c r="S34" s="4">
        <v>101606.62</v>
      </c>
    </row>
    <row r="35" spans="1:20" x14ac:dyDescent="0.3">
      <c r="A35" s="3" t="s">
        <v>52</v>
      </c>
      <c r="B35" s="2" t="s">
        <v>249</v>
      </c>
      <c r="C35" s="2" t="s">
        <v>414</v>
      </c>
      <c r="D35" s="2">
        <v>738591</v>
      </c>
      <c r="E35" s="2">
        <v>420060</v>
      </c>
      <c r="F35" s="2">
        <v>28587</v>
      </c>
      <c r="G35" s="2">
        <v>6418</v>
      </c>
      <c r="H35" s="2">
        <v>14293</v>
      </c>
      <c r="I35" s="2">
        <v>5717</v>
      </c>
      <c r="J35" s="2">
        <v>8576</v>
      </c>
      <c r="K35" s="2">
        <v>1143</v>
      </c>
      <c r="L35" s="2">
        <v>200</v>
      </c>
      <c r="M35" s="2">
        <v>160</v>
      </c>
      <c r="N35" s="2">
        <v>5</v>
      </c>
      <c r="O35" s="2">
        <v>178.67</v>
      </c>
      <c r="P35" s="2">
        <v>357.34</v>
      </c>
      <c r="Q35" s="2">
        <v>1786.7</v>
      </c>
      <c r="R35" s="2">
        <v>43323.7</v>
      </c>
      <c r="S35" s="4">
        <v>49741.7</v>
      </c>
    </row>
    <row r="36" spans="1:20" x14ac:dyDescent="0.3">
      <c r="A36" s="3" t="s">
        <v>53</v>
      </c>
      <c r="B36" s="2" t="s">
        <v>250</v>
      </c>
      <c r="C36" s="2" t="s">
        <v>415</v>
      </c>
      <c r="D36" s="2">
        <v>738387</v>
      </c>
      <c r="E36" s="2">
        <v>626160</v>
      </c>
      <c r="F36" s="2">
        <v>50021</v>
      </c>
      <c r="G36" s="2">
        <v>2159</v>
      </c>
      <c r="H36" s="2">
        <v>25010</v>
      </c>
      <c r="I36" s="2">
        <v>10004</v>
      </c>
      <c r="J36" s="2">
        <v>15006</v>
      </c>
      <c r="K36" s="2">
        <v>2000</v>
      </c>
      <c r="L36" s="2">
        <v>200</v>
      </c>
      <c r="M36" s="2">
        <v>160</v>
      </c>
      <c r="N36" s="2">
        <v>8</v>
      </c>
      <c r="O36" s="2">
        <v>312.63</v>
      </c>
      <c r="P36" s="2">
        <v>625.26</v>
      </c>
      <c r="Q36" s="2">
        <v>5002.08</v>
      </c>
      <c r="R36" s="2">
        <v>77833.08</v>
      </c>
      <c r="S36" s="4">
        <v>79992.08</v>
      </c>
    </row>
    <row r="37" spans="1:20" x14ac:dyDescent="0.3">
      <c r="A37" s="3" t="s">
        <v>54</v>
      </c>
      <c r="B37" s="2" t="s">
        <v>251</v>
      </c>
      <c r="C37" s="2" t="s">
        <v>419</v>
      </c>
      <c r="D37" s="2">
        <v>738319</v>
      </c>
      <c r="E37" s="2">
        <v>433992</v>
      </c>
      <c r="F37" s="2">
        <v>33692</v>
      </c>
      <c r="G37" s="2">
        <v>2474</v>
      </c>
      <c r="H37" s="2">
        <v>16846</v>
      </c>
      <c r="I37" s="2">
        <v>6738</v>
      </c>
      <c r="J37" s="2">
        <v>10107</v>
      </c>
      <c r="K37" s="2">
        <v>1347</v>
      </c>
      <c r="L37" s="2">
        <v>200</v>
      </c>
      <c r="M37" s="2">
        <v>160</v>
      </c>
      <c r="N37" s="2">
        <v>12</v>
      </c>
      <c r="O37" s="2">
        <v>210.57</v>
      </c>
      <c r="P37" s="2">
        <v>421.14</v>
      </c>
      <c r="Q37" s="2">
        <v>5053.68</v>
      </c>
      <c r="R37" s="2">
        <v>54043.68</v>
      </c>
      <c r="S37" s="4">
        <v>56517.68</v>
      </c>
    </row>
    <row r="38" spans="1:20" x14ac:dyDescent="0.3">
      <c r="A38" s="3" t="s">
        <v>55</v>
      </c>
      <c r="B38" s="2" t="s">
        <v>252</v>
      </c>
      <c r="C38" s="2" t="s">
        <v>415</v>
      </c>
      <c r="D38" s="2">
        <v>737382</v>
      </c>
      <c r="E38" s="2">
        <v>379296</v>
      </c>
      <c r="F38" s="2">
        <v>23613</v>
      </c>
      <c r="G38" s="2">
        <v>7995</v>
      </c>
      <c r="H38" s="2">
        <v>11806</v>
      </c>
      <c r="I38" s="2">
        <v>4722</v>
      </c>
      <c r="J38" s="2">
        <v>7083</v>
      </c>
      <c r="K38" s="2">
        <v>944</v>
      </c>
      <c r="L38" s="2">
        <v>200</v>
      </c>
      <c r="M38" s="2">
        <v>160</v>
      </c>
      <c r="N38" s="2">
        <v>20</v>
      </c>
      <c r="O38" s="2">
        <v>147.58000000000001</v>
      </c>
      <c r="P38" s="2">
        <v>295.16000000000003</v>
      </c>
      <c r="Q38" s="2">
        <v>5903.2</v>
      </c>
      <c r="R38" s="2">
        <v>40177.199999999997</v>
      </c>
      <c r="S38" s="4">
        <v>48172.2</v>
      </c>
    </row>
    <row r="39" spans="1:20" x14ac:dyDescent="0.3">
      <c r="A39" s="3" t="s">
        <v>56</v>
      </c>
      <c r="B39" s="2" t="s">
        <v>253</v>
      </c>
      <c r="C39" s="2" t="s">
        <v>417</v>
      </c>
      <c r="D39" s="2">
        <v>737343</v>
      </c>
      <c r="E39" s="2">
        <v>734208</v>
      </c>
      <c r="F39" s="2">
        <v>52911</v>
      </c>
      <c r="G39" s="2">
        <v>8273</v>
      </c>
      <c r="H39" s="2">
        <v>26455</v>
      </c>
      <c r="I39" s="2">
        <v>10582</v>
      </c>
      <c r="J39" s="2">
        <v>15873</v>
      </c>
      <c r="K39" s="2">
        <v>2116</v>
      </c>
      <c r="L39" s="2">
        <v>200</v>
      </c>
      <c r="M39" s="2">
        <v>160</v>
      </c>
      <c r="N39" s="2">
        <v>9</v>
      </c>
      <c r="O39" s="2">
        <v>330.69</v>
      </c>
      <c r="P39" s="2">
        <v>661.38</v>
      </c>
      <c r="Q39" s="2">
        <v>5952.42</v>
      </c>
      <c r="R39" s="2">
        <v>83002.42</v>
      </c>
      <c r="S39" s="4">
        <v>91275.42</v>
      </c>
    </row>
    <row r="40" spans="1:20" x14ac:dyDescent="0.3">
      <c r="A40" s="3" t="s">
        <v>57</v>
      </c>
      <c r="B40" s="2" t="s">
        <v>254</v>
      </c>
      <c r="C40" s="2" t="s">
        <v>414</v>
      </c>
      <c r="D40" s="2">
        <v>739006</v>
      </c>
      <c r="E40" s="2">
        <v>688596</v>
      </c>
      <c r="F40" s="2">
        <v>54031</v>
      </c>
      <c r="G40" s="2">
        <v>3352</v>
      </c>
      <c r="H40" s="2">
        <v>27015</v>
      </c>
      <c r="I40" s="2">
        <v>10806</v>
      </c>
      <c r="J40" s="2">
        <v>16209</v>
      </c>
      <c r="K40" s="2">
        <v>2161</v>
      </c>
      <c r="L40" s="2">
        <v>200</v>
      </c>
      <c r="M40" s="2">
        <v>160</v>
      </c>
      <c r="N40" s="2">
        <v>13</v>
      </c>
      <c r="O40" s="2">
        <v>337.69</v>
      </c>
      <c r="P40" s="2">
        <v>675.38</v>
      </c>
      <c r="Q40" s="2">
        <v>8779.94</v>
      </c>
      <c r="R40" s="2">
        <v>87464.94</v>
      </c>
      <c r="S40" s="4">
        <v>90816.94</v>
      </c>
    </row>
    <row r="41" spans="1:20" x14ac:dyDescent="0.3">
      <c r="A41" s="3" t="s">
        <v>58</v>
      </c>
      <c r="B41" s="2" t="s">
        <v>255</v>
      </c>
      <c r="C41" s="2" t="s">
        <v>415</v>
      </c>
      <c r="D41" s="2">
        <v>739544</v>
      </c>
      <c r="E41" s="2">
        <v>667560</v>
      </c>
      <c r="F41" s="2">
        <v>45730</v>
      </c>
      <c r="G41" s="2">
        <v>9900</v>
      </c>
      <c r="H41" s="2">
        <v>22865</v>
      </c>
      <c r="I41" s="2">
        <v>9146</v>
      </c>
      <c r="J41" s="2">
        <v>13719</v>
      </c>
      <c r="K41" s="2">
        <v>1829</v>
      </c>
      <c r="L41" s="2">
        <v>200</v>
      </c>
      <c r="M41" s="2">
        <v>160</v>
      </c>
      <c r="N41" s="2">
        <v>11</v>
      </c>
      <c r="O41" s="2">
        <v>285.81</v>
      </c>
      <c r="P41" s="2">
        <v>571.62</v>
      </c>
      <c r="Q41" s="2">
        <v>6287.82</v>
      </c>
      <c r="R41" s="2">
        <v>72853.820000000007</v>
      </c>
      <c r="S41" s="4">
        <v>82753.820000000007</v>
      </c>
    </row>
    <row r="42" spans="1:20" x14ac:dyDescent="0.3">
      <c r="A42" s="8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 t="s">
        <v>420</v>
      </c>
      <c r="S42" s="10">
        <f>MEDIAN(S2:S41)</f>
        <v>61289.05</v>
      </c>
    </row>
    <row r="43" spans="1:20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968C9-6C44-45AC-8D62-D8BA96FF568D}">
  <sheetPr codeName="Sheet2"/>
  <dimension ref="A1:S41"/>
  <sheetViews>
    <sheetView topLeftCell="M37" workbookViewId="0">
      <selection activeCell="A7" sqref="A7:S38"/>
    </sheetView>
  </sheetViews>
  <sheetFormatPr defaultRowHeight="14.4" x14ac:dyDescent="0.3"/>
  <cols>
    <col min="1" max="1" width="14" customWidth="1"/>
    <col min="2" max="2" width="18.88671875" bestFit="1" customWidth="1"/>
    <col min="3" max="3" width="13" customWidth="1"/>
    <col min="4" max="4" width="16.44140625" customWidth="1"/>
    <col min="5" max="5" width="13.109375" customWidth="1"/>
    <col min="6" max="6" width="21.5546875" customWidth="1"/>
    <col min="7" max="7" width="22.109375" customWidth="1"/>
    <col min="8" max="8" width="13.21875" customWidth="1"/>
    <col min="9" max="9" width="6.44140625" customWidth="1"/>
    <col min="10" max="10" width="12.33203125" customWidth="1"/>
    <col min="11" max="11" width="14.5546875" customWidth="1"/>
    <col min="12" max="12" width="17" customWidth="1"/>
    <col min="13" max="13" width="20.44140625" customWidth="1"/>
    <col min="14" max="14" width="23.77734375" customWidth="1"/>
    <col min="15" max="15" width="18.88671875" customWidth="1"/>
    <col min="16" max="16" width="23.33203125" customWidth="1"/>
    <col min="17" max="17" width="15.33203125" customWidth="1"/>
    <col min="18" max="18" width="36.33203125" customWidth="1"/>
    <col min="19" max="19" width="36" customWidth="1"/>
  </cols>
  <sheetData>
    <row r="1" spans="1:19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7" t="s">
        <v>18</v>
      </c>
    </row>
    <row r="2" spans="1:19" x14ac:dyDescent="0.3">
      <c r="A2" s="3" t="s">
        <v>59</v>
      </c>
      <c r="B2" s="2" t="s">
        <v>256</v>
      </c>
      <c r="C2" s="2" t="s">
        <v>417</v>
      </c>
      <c r="D2" s="2">
        <v>737883</v>
      </c>
      <c r="E2" s="2">
        <v>524352</v>
      </c>
      <c r="F2" s="2">
        <v>38428</v>
      </c>
      <c r="G2" s="2">
        <v>5268</v>
      </c>
      <c r="H2" s="2">
        <v>19214</v>
      </c>
      <c r="I2" s="2">
        <v>7685</v>
      </c>
      <c r="J2" s="2">
        <v>11528</v>
      </c>
      <c r="K2" s="2">
        <v>1537</v>
      </c>
      <c r="L2" s="2">
        <v>200</v>
      </c>
      <c r="M2" s="2">
        <v>160</v>
      </c>
      <c r="N2" s="2">
        <v>16</v>
      </c>
      <c r="O2" s="2">
        <v>240.18</v>
      </c>
      <c r="P2" s="2">
        <v>480.36</v>
      </c>
      <c r="Q2" s="2">
        <v>7685.76</v>
      </c>
      <c r="R2" s="2">
        <v>63589.760000000002</v>
      </c>
      <c r="S2" s="4">
        <v>68857.760000000009</v>
      </c>
    </row>
    <row r="3" spans="1:19" x14ac:dyDescent="0.3">
      <c r="A3" s="3" t="s">
        <v>60</v>
      </c>
      <c r="B3" s="2" t="s">
        <v>257</v>
      </c>
      <c r="C3" s="2" t="s">
        <v>418</v>
      </c>
      <c r="D3" s="2">
        <v>739179</v>
      </c>
      <c r="E3" s="2">
        <v>606948</v>
      </c>
      <c r="F3" s="2">
        <v>47588</v>
      </c>
      <c r="G3" s="2">
        <v>2991</v>
      </c>
      <c r="H3" s="2">
        <v>23794</v>
      </c>
      <c r="I3" s="2">
        <v>9517</v>
      </c>
      <c r="J3" s="2">
        <v>14276</v>
      </c>
      <c r="K3" s="2">
        <v>1903</v>
      </c>
      <c r="L3" s="2">
        <v>200</v>
      </c>
      <c r="M3" s="2">
        <v>160</v>
      </c>
      <c r="N3" s="2">
        <v>12</v>
      </c>
      <c r="O3" s="2">
        <v>297.43</v>
      </c>
      <c r="P3" s="2">
        <v>594.86</v>
      </c>
      <c r="Q3" s="2">
        <v>7138.32</v>
      </c>
      <c r="R3" s="2">
        <v>76416.320000000007</v>
      </c>
      <c r="S3" s="4">
        <v>79407.320000000007</v>
      </c>
    </row>
    <row r="4" spans="1:19" x14ac:dyDescent="0.3">
      <c r="A4" s="3" t="s">
        <v>61</v>
      </c>
      <c r="B4" s="2" t="s">
        <v>258</v>
      </c>
      <c r="C4" s="2" t="s">
        <v>414</v>
      </c>
      <c r="D4" s="2">
        <v>737322</v>
      </c>
      <c r="E4" s="2">
        <v>507936</v>
      </c>
      <c r="F4" s="2">
        <v>40156</v>
      </c>
      <c r="G4" s="2">
        <v>2172</v>
      </c>
      <c r="H4" s="2">
        <v>20078</v>
      </c>
      <c r="I4" s="2">
        <v>8031</v>
      </c>
      <c r="J4" s="2">
        <v>12046</v>
      </c>
      <c r="K4" s="2">
        <v>1606</v>
      </c>
      <c r="L4" s="2">
        <v>200</v>
      </c>
      <c r="M4" s="2">
        <v>160</v>
      </c>
      <c r="N4" s="2">
        <v>12</v>
      </c>
      <c r="O4" s="2">
        <v>250.97</v>
      </c>
      <c r="P4" s="2">
        <v>501.94</v>
      </c>
      <c r="Q4" s="2">
        <v>6023.28</v>
      </c>
      <c r="R4" s="2">
        <v>64450.28</v>
      </c>
      <c r="S4" s="4">
        <v>66622.28</v>
      </c>
    </row>
    <row r="5" spans="1:19" x14ac:dyDescent="0.3">
      <c r="A5" s="3" t="s">
        <v>62</v>
      </c>
      <c r="B5" s="2" t="s">
        <v>259</v>
      </c>
      <c r="C5" s="2" t="s">
        <v>415</v>
      </c>
      <c r="D5" s="2">
        <v>737962</v>
      </c>
      <c r="E5" s="2">
        <v>252624</v>
      </c>
      <c r="F5" s="2">
        <v>18471</v>
      </c>
      <c r="G5" s="2">
        <v>2581</v>
      </c>
      <c r="H5" s="2">
        <v>9235</v>
      </c>
      <c r="I5" s="2">
        <v>3694</v>
      </c>
      <c r="J5" s="2">
        <v>5541</v>
      </c>
      <c r="K5" s="2">
        <v>738</v>
      </c>
      <c r="L5" s="2">
        <v>200</v>
      </c>
      <c r="M5" s="2">
        <v>160</v>
      </c>
      <c r="N5" s="2">
        <v>6</v>
      </c>
      <c r="O5" s="2">
        <v>115.44</v>
      </c>
      <c r="P5" s="2">
        <v>230.88</v>
      </c>
      <c r="Q5" s="2">
        <v>1385.28</v>
      </c>
      <c r="R5" s="2">
        <v>28153.279999999999</v>
      </c>
      <c r="S5" s="4">
        <v>30734.28</v>
      </c>
    </row>
    <row r="6" spans="1:19" x14ac:dyDescent="0.3">
      <c r="A6" s="3" t="s">
        <v>63</v>
      </c>
      <c r="B6" s="2" t="s">
        <v>260</v>
      </c>
      <c r="C6" s="2" t="s">
        <v>414</v>
      </c>
      <c r="D6" s="2">
        <v>737336</v>
      </c>
      <c r="E6" s="2">
        <v>349200</v>
      </c>
      <c r="F6" s="2">
        <v>20058</v>
      </c>
      <c r="G6" s="2">
        <v>9042</v>
      </c>
      <c r="H6" s="2">
        <v>10029</v>
      </c>
      <c r="I6" s="2">
        <v>4011</v>
      </c>
      <c r="J6" s="2">
        <v>6017</v>
      </c>
      <c r="K6" s="2">
        <v>802</v>
      </c>
      <c r="L6" s="2">
        <v>200</v>
      </c>
      <c r="M6" s="2">
        <v>160</v>
      </c>
      <c r="N6" s="2">
        <v>15</v>
      </c>
      <c r="O6" s="2">
        <v>125.36</v>
      </c>
      <c r="P6" s="2">
        <v>250.72</v>
      </c>
      <c r="Q6" s="2">
        <v>3760.8</v>
      </c>
      <c r="R6" s="2">
        <v>32844.800000000003</v>
      </c>
      <c r="S6" s="4">
        <v>41886.800000000003</v>
      </c>
    </row>
    <row r="7" spans="1:19" x14ac:dyDescent="0.3">
      <c r="A7" s="3" t="s">
        <v>64</v>
      </c>
      <c r="B7" s="2" t="s">
        <v>261</v>
      </c>
      <c r="C7" s="2" t="s">
        <v>413</v>
      </c>
      <c r="D7" s="2">
        <v>739165</v>
      </c>
      <c r="E7" s="2">
        <v>454536</v>
      </c>
      <c r="F7" s="2">
        <v>33597</v>
      </c>
      <c r="G7" s="2">
        <v>4281</v>
      </c>
      <c r="H7" s="2">
        <v>16798</v>
      </c>
      <c r="I7" s="2">
        <v>6719</v>
      </c>
      <c r="J7" s="2">
        <v>10079</v>
      </c>
      <c r="K7" s="2">
        <v>1343</v>
      </c>
      <c r="L7" s="2">
        <v>200</v>
      </c>
      <c r="M7" s="2">
        <v>160</v>
      </c>
      <c r="N7" s="2">
        <v>20</v>
      </c>
      <c r="O7" s="2">
        <v>209.98</v>
      </c>
      <c r="P7" s="2">
        <v>419.96</v>
      </c>
      <c r="Q7" s="2">
        <v>8399.2000000000007</v>
      </c>
      <c r="R7" s="2">
        <v>57251.199999999997</v>
      </c>
      <c r="S7" s="4">
        <v>61532.2</v>
      </c>
    </row>
    <row r="8" spans="1:19" x14ac:dyDescent="0.3">
      <c r="A8" s="3" t="s">
        <v>65</v>
      </c>
      <c r="B8" s="2" t="s">
        <v>262</v>
      </c>
      <c r="C8" s="2" t="s">
        <v>414</v>
      </c>
      <c r="D8" s="2">
        <v>739268</v>
      </c>
      <c r="E8" s="2">
        <v>415152</v>
      </c>
      <c r="F8" s="2">
        <v>26671</v>
      </c>
      <c r="G8" s="2">
        <v>7925</v>
      </c>
      <c r="H8" s="2">
        <v>13335</v>
      </c>
      <c r="I8" s="2">
        <v>5334</v>
      </c>
      <c r="J8" s="2">
        <v>8001</v>
      </c>
      <c r="K8" s="2">
        <v>1066</v>
      </c>
      <c r="L8" s="2">
        <v>200</v>
      </c>
      <c r="M8" s="2">
        <v>160</v>
      </c>
      <c r="N8" s="2">
        <v>20</v>
      </c>
      <c r="O8" s="2">
        <v>166.69</v>
      </c>
      <c r="P8" s="2">
        <v>333.38</v>
      </c>
      <c r="Q8" s="2">
        <v>6667.6</v>
      </c>
      <c r="R8" s="2">
        <v>45407.6</v>
      </c>
      <c r="S8" s="4">
        <v>53332.6</v>
      </c>
    </row>
    <row r="9" spans="1:19" x14ac:dyDescent="0.3">
      <c r="A9" s="3" t="s">
        <v>66</v>
      </c>
      <c r="B9" s="2" t="s">
        <v>263</v>
      </c>
      <c r="C9" s="2" t="s">
        <v>414</v>
      </c>
      <c r="D9" s="2">
        <v>738997</v>
      </c>
      <c r="E9" s="2">
        <v>578832</v>
      </c>
      <c r="F9" s="2">
        <v>44677</v>
      </c>
      <c r="G9" s="2">
        <v>3559</v>
      </c>
      <c r="H9" s="2">
        <v>22338</v>
      </c>
      <c r="I9" s="2">
        <v>8935</v>
      </c>
      <c r="J9" s="2">
        <v>13403</v>
      </c>
      <c r="K9" s="2">
        <v>1787</v>
      </c>
      <c r="L9" s="2">
        <v>200</v>
      </c>
      <c r="M9" s="2">
        <v>160</v>
      </c>
      <c r="N9" s="2">
        <v>8</v>
      </c>
      <c r="O9" s="2">
        <v>279.23</v>
      </c>
      <c r="P9" s="2">
        <v>558.46</v>
      </c>
      <c r="Q9" s="2">
        <v>4467.68</v>
      </c>
      <c r="R9" s="2">
        <v>69495.679999999993</v>
      </c>
      <c r="S9" s="4">
        <v>73054.679999999993</v>
      </c>
    </row>
    <row r="10" spans="1:19" x14ac:dyDescent="0.3">
      <c r="A10" s="3" t="s">
        <v>67</v>
      </c>
      <c r="B10" s="2" t="s">
        <v>264</v>
      </c>
      <c r="C10" s="2" t="s">
        <v>413</v>
      </c>
      <c r="D10" s="2">
        <v>738825</v>
      </c>
      <c r="E10" s="2">
        <v>560256</v>
      </c>
      <c r="F10" s="2">
        <v>41219</v>
      </c>
      <c r="G10" s="2">
        <v>5469</v>
      </c>
      <c r="H10" s="2">
        <v>20609</v>
      </c>
      <c r="I10" s="2">
        <v>8243</v>
      </c>
      <c r="J10" s="2">
        <v>12365</v>
      </c>
      <c r="K10" s="2">
        <v>1648</v>
      </c>
      <c r="L10" s="2">
        <v>200</v>
      </c>
      <c r="M10" s="2">
        <v>160</v>
      </c>
      <c r="N10" s="2">
        <v>18</v>
      </c>
      <c r="O10" s="2">
        <v>257.62</v>
      </c>
      <c r="P10" s="2">
        <v>515.24</v>
      </c>
      <c r="Q10" s="2">
        <v>9274.32</v>
      </c>
      <c r="R10" s="2">
        <v>69253.320000000007</v>
      </c>
      <c r="S10" s="4">
        <v>74722.320000000007</v>
      </c>
    </row>
    <row r="11" spans="1:19" x14ac:dyDescent="0.3">
      <c r="A11" s="3" t="s">
        <v>68</v>
      </c>
      <c r="B11" s="2" t="s">
        <v>265</v>
      </c>
      <c r="C11" s="2" t="s">
        <v>418</v>
      </c>
      <c r="D11" s="2">
        <v>737281</v>
      </c>
      <c r="E11" s="2">
        <v>323340</v>
      </c>
      <c r="F11" s="2">
        <v>24449</v>
      </c>
      <c r="G11" s="2">
        <v>2496</v>
      </c>
      <c r="H11" s="2">
        <v>12224</v>
      </c>
      <c r="I11" s="2">
        <v>4889</v>
      </c>
      <c r="J11" s="2">
        <v>7334</v>
      </c>
      <c r="K11" s="2">
        <v>977</v>
      </c>
      <c r="L11" s="2">
        <v>200</v>
      </c>
      <c r="M11" s="2">
        <v>160</v>
      </c>
      <c r="N11" s="2">
        <v>17</v>
      </c>
      <c r="O11" s="2">
        <v>152.81</v>
      </c>
      <c r="P11" s="2">
        <v>305.62</v>
      </c>
      <c r="Q11" s="2">
        <v>5195.54</v>
      </c>
      <c r="R11" s="2">
        <v>40690.54</v>
      </c>
      <c r="S11" s="4">
        <v>43186.54</v>
      </c>
    </row>
    <row r="12" spans="1:19" x14ac:dyDescent="0.3">
      <c r="A12" s="3" t="s">
        <v>69</v>
      </c>
      <c r="B12" s="2" t="s">
        <v>266</v>
      </c>
      <c r="C12" s="2" t="s">
        <v>416</v>
      </c>
      <c r="D12" s="2">
        <v>738449</v>
      </c>
      <c r="E12" s="2">
        <v>350364</v>
      </c>
      <c r="F12" s="2">
        <v>25161</v>
      </c>
      <c r="G12" s="2">
        <v>4036</v>
      </c>
      <c r="H12" s="2">
        <v>12580</v>
      </c>
      <c r="I12" s="2">
        <v>5032</v>
      </c>
      <c r="J12" s="2">
        <v>7548</v>
      </c>
      <c r="K12" s="2">
        <v>1006</v>
      </c>
      <c r="L12" s="2">
        <v>200</v>
      </c>
      <c r="M12" s="2">
        <v>160</v>
      </c>
      <c r="N12" s="2">
        <v>11</v>
      </c>
      <c r="O12" s="2">
        <v>157.26</v>
      </c>
      <c r="P12" s="2">
        <v>314.52</v>
      </c>
      <c r="Q12" s="2">
        <v>3459.72</v>
      </c>
      <c r="R12" s="2">
        <v>39994.720000000001</v>
      </c>
      <c r="S12" s="4">
        <v>44030.720000000001</v>
      </c>
    </row>
    <row r="13" spans="1:19" x14ac:dyDescent="0.3">
      <c r="A13" s="3" t="s">
        <v>70</v>
      </c>
      <c r="B13" s="2" t="s">
        <v>267</v>
      </c>
      <c r="C13" s="2" t="s">
        <v>414</v>
      </c>
      <c r="D13" s="2">
        <v>739256</v>
      </c>
      <c r="E13" s="2">
        <v>606576</v>
      </c>
      <c r="F13" s="2">
        <v>47400</v>
      </c>
      <c r="G13" s="2">
        <v>3148</v>
      </c>
      <c r="H13" s="2">
        <v>23700</v>
      </c>
      <c r="I13" s="2">
        <v>9480</v>
      </c>
      <c r="J13" s="2">
        <v>14220</v>
      </c>
      <c r="K13" s="2">
        <v>1896</v>
      </c>
      <c r="L13" s="2">
        <v>200</v>
      </c>
      <c r="M13" s="2">
        <v>160</v>
      </c>
      <c r="N13" s="2">
        <v>18</v>
      </c>
      <c r="O13" s="2">
        <v>296.25</v>
      </c>
      <c r="P13" s="2">
        <v>592.5</v>
      </c>
      <c r="Q13" s="2">
        <v>10665</v>
      </c>
      <c r="R13" s="2">
        <v>79669</v>
      </c>
      <c r="S13" s="4">
        <v>82817</v>
      </c>
    </row>
    <row r="14" spans="1:19" x14ac:dyDescent="0.3">
      <c r="A14" s="3" t="s">
        <v>71</v>
      </c>
      <c r="B14" s="2" t="s">
        <v>268</v>
      </c>
      <c r="C14" s="2" t="s">
        <v>414</v>
      </c>
      <c r="D14" s="2">
        <v>738200</v>
      </c>
      <c r="E14" s="2">
        <v>628368</v>
      </c>
      <c r="F14" s="2">
        <v>48318</v>
      </c>
      <c r="G14" s="2">
        <v>4046</v>
      </c>
      <c r="H14" s="2">
        <v>24159</v>
      </c>
      <c r="I14" s="2">
        <v>9663</v>
      </c>
      <c r="J14" s="2">
        <v>14495</v>
      </c>
      <c r="K14" s="2">
        <v>1932</v>
      </c>
      <c r="L14" s="2">
        <v>200</v>
      </c>
      <c r="M14" s="2">
        <v>160</v>
      </c>
      <c r="N14" s="2">
        <v>7</v>
      </c>
      <c r="O14" s="2">
        <v>301.99</v>
      </c>
      <c r="P14" s="2">
        <v>603.98</v>
      </c>
      <c r="Q14" s="2">
        <v>4227.8599999999997</v>
      </c>
      <c r="R14" s="2">
        <v>74571.86</v>
      </c>
      <c r="S14" s="4">
        <v>78617.86</v>
      </c>
    </row>
    <row r="15" spans="1:19" x14ac:dyDescent="0.3">
      <c r="A15" s="3" t="s">
        <v>72</v>
      </c>
      <c r="B15" s="2" t="s">
        <v>269</v>
      </c>
      <c r="C15" s="2" t="s">
        <v>418</v>
      </c>
      <c r="D15" s="2">
        <v>739314</v>
      </c>
      <c r="E15" s="2">
        <v>321960</v>
      </c>
      <c r="F15" s="2">
        <v>24416</v>
      </c>
      <c r="G15" s="2">
        <v>2414</v>
      </c>
      <c r="H15" s="2">
        <v>12208</v>
      </c>
      <c r="I15" s="2">
        <v>4883</v>
      </c>
      <c r="J15" s="2">
        <v>7324</v>
      </c>
      <c r="K15" s="2">
        <v>976</v>
      </c>
      <c r="L15" s="2">
        <v>200</v>
      </c>
      <c r="M15" s="2">
        <v>160</v>
      </c>
      <c r="N15" s="2">
        <v>5</v>
      </c>
      <c r="O15" s="2">
        <v>152.6</v>
      </c>
      <c r="P15" s="2">
        <v>305.2</v>
      </c>
      <c r="Q15" s="2">
        <v>1526</v>
      </c>
      <c r="R15" s="2">
        <v>36973</v>
      </c>
      <c r="S15" s="4">
        <v>39387</v>
      </c>
    </row>
    <row r="16" spans="1:19" x14ac:dyDescent="0.3">
      <c r="A16" s="3" t="s">
        <v>73</v>
      </c>
      <c r="B16" s="2" t="s">
        <v>270</v>
      </c>
      <c r="C16" s="2" t="s">
        <v>413</v>
      </c>
      <c r="D16" s="2">
        <v>738028</v>
      </c>
      <c r="E16" s="2">
        <v>410736</v>
      </c>
      <c r="F16" s="2">
        <v>28899</v>
      </c>
      <c r="G16" s="2">
        <v>5329</v>
      </c>
      <c r="H16" s="2">
        <v>14449</v>
      </c>
      <c r="I16" s="2">
        <v>5779</v>
      </c>
      <c r="J16" s="2">
        <v>8669</v>
      </c>
      <c r="K16" s="2">
        <v>1155</v>
      </c>
      <c r="L16" s="2">
        <v>200</v>
      </c>
      <c r="M16" s="2">
        <v>160</v>
      </c>
      <c r="N16" s="2">
        <v>20</v>
      </c>
      <c r="O16" s="2">
        <v>180.62</v>
      </c>
      <c r="P16" s="2">
        <v>361.24</v>
      </c>
      <c r="Q16" s="2">
        <v>7224.8</v>
      </c>
      <c r="R16" s="2">
        <v>49216.800000000003</v>
      </c>
      <c r="S16" s="4">
        <v>54545.8</v>
      </c>
    </row>
    <row r="17" spans="1:19" x14ac:dyDescent="0.3">
      <c r="A17" s="3" t="s">
        <v>74</v>
      </c>
      <c r="B17" s="2" t="s">
        <v>271</v>
      </c>
      <c r="C17" s="2" t="s">
        <v>418</v>
      </c>
      <c r="D17" s="2">
        <v>737935</v>
      </c>
      <c r="E17" s="2">
        <v>644088</v>
      </c>
      <c r="F17" s="2">
        <v>44282</v>
      </c>
      <c r="G17" s="2">
        <v>9392</v>
      </c>
      <c r="H17" s="2">
        <v>22141</v>
      </c>
      <c r="I17" s="2">
        <v>8856</v>
      </c>
      <c r="J17" s="2">
        <v>13284</v>
      </c>
      <c r="K17" s="2">
        <v>1771</v>
      </c>
      <c r="L17" s="2">
        <v>200</v>
      </c>
      <c r="M17" s="2">
        <v>160</v>
      </c>
      <c r="N17" s="2">
        <v>6</v>
      </c>
      <c r="O17" s="2">
        <v>276.76</v>
      </c>
      <c r="P17" s="2">
        <v>553.52</v>
      </c>
      <c r="Q17" s="2">
        <v>3321.12</v>
      </c>
      <c r="R17" s="2">
        <v>67772.12</v>
      </c>
      <c r="S17" s="4">
        <v>77164.12</v>
      </c>
    </row>
    <row r="18" spans="1:19" x14ac:dyDescent="0.3">
      <c r="A18" s="3" t="s">
        <v>75</v>
      </c>
      <c r="B18" s="2" t="s">
        <v>272</v>
      </c>
      <c r="C18" s="2" t="s">
        <v>414</v>
      </c>
      <c r="D18" s="2">
        <v>738612</v>
      </c>
      <c r="E18" s="2">
        <v>280068</v>
      </c>
      <c r="F18" s="2">
        <v>18141</v>
      </c>
      <c r="G18" s="2">
        <v>5198</v>
      </c>
      <c r="H18" s="2">
        <v>9070</v>
      </c>
      <c r="I18" s="2">
        <v>3628</v>
      </c>
      <c r="J18" s="2">
        <v>5442</v>
      </c>
      <c r="K18" s="2">
        <v>725</v>
      </c>
      <c r="L18" s="2">
        <v>200</v>
      </c>
      <c r="M18" s="2">
        <v>160</v>
      </c>
      <c r="N18" s="2">
        <v>13</v>
      </c>
      <c r="O18" s="2">
        <v>113.38</v>
      </c>
      <c r="P18" s="2">
        <v>226.76</v>
      </c>
      <c r="Q18" s="2">
        <v>2947.88</v>
      </c>
      <c r="R18" s="2">
        <v>29233.88</v>
      </c>
      <c r="S18" s="4">
        <v>34431.879999999997</v>
      </c>
    </row>
    <row r="19" spans="1:19" x14ac:dyDescent="0.3">
      <c r="A19" s="3" t="s">
        <v>76</v>
      </c>
      <c r="B19" s="2" t="s">
        <v>273</v>
      </c>
      <c r="C19" s="2" t="s">
        <v>417</v>
      </c>
      <c r="D19" s="2">
        <v>738923</v>
      </c>
      <c r="E19" s="2">
        <v>505908</v>
      </c>
      <c r="F19" s="2">
        <v>36694</v>
      </c>
      <c r="G19" s="2">
        <v>5465</v>
      </c>
      <c r="H19" s="2">
        <v>18347</v>
      </c>
      <c r="I19" s="2">
        <v>7338</v>
      </c>
      <c r="J19" s="2">
        <v>11008</v>
      </c>
      <c r="K19" s="2">
        <v>1467</v>
      </c>
      <c r="L19" s="2">
        <v>200</v>
      </c>
      <c r="M19" s="2">
        <v>160</v>
      </c>
      <c r="N19" s="2">
        <v>20</v>
      </c>
      <c r="O19" s="2">
        <v>229.34</v>
      </c>
      <c r="P19" s="2">
        <v>458.68</v>
      </c>
      <c r="Q19" s="2">
        <v>9173.6</v>
      </c>
      <c r="R19" s="2">
        <v>62546.6</v>
      </c>
      <c r="S19" s="4">
        <v>68011.600000000006</v>
      </c>
    </row>
    <row r="20" spans="1:19" x14ac:dyDescent="0.3">
      <c r="A20" s="3" t="s">
        <v>77</v>
      </c>
      <c r="B20" s="2" t="s">
        <v>274</v>
      </c>
      <c r="C20" s="2" t="s">
        <v>414</v>
      </c>
      <c r="D20" s="2">
        <v>737837</v>
      </c>
      <c r="E20" s="2">
        <v>494736</v>
      </c>
      <c r="F20" s="2">
        <v>37445</v>
      </c>
      <c r="G20" s="2">
        <v>3783</v>
      </c>
      <c r="H20" s="2">
        <v>18722</v>
      </c>
      <c r="I20" s="2">
        <v>7488</v>
      </c>
      <c r="J20" s="2">
        <v>11233</v>
      </c>
      <c r="K20" s="2">
        <v>1497</v>
      </c>
      <c r="L20" s="2">
        <v>200</v>
      </c>
      <c r="M20" s="2">
        <v>160</v>
      </c>
      <c r="N20" s="2">
        <v>6</v>
      </c>
      <c r="O20" s="2">
        <v>234.03</v>
      </c>
      <c r="P20" s="2">
        <v>468.06</v>
      </c>
      <c r="Q20" s="2">
        <v>2808.36</v>
      </c>
      <c r="R20" s="2">
        <v>57277.36</v>
      </c>
      <c r="S20" s="4">
        <v>61060.36</v>
      </c>
    </row>
    <row r="21" spans="1:19" x14ac:dyDescent="0.3">
      <c r="A21" s="3" t="s">
        <v>78</v>
      </c>
      <c r="B21" s="2" t="s">
        <v>275</v>
      </c>
      <c r="C21" s="2" t="s">
        <v>415</v>
      </c>
      <c r="D21" s="2">
        <v>739280</v>
      </c>
      <c r="E21" s="2">
        <v>361452</v>
      </c>
      <c r="F21" s="2">
        <v>21994</v>
      </c>
      <c r="G21" s="2">
        <v>8127</v>
      </c>
      <c r="H21" s="2">
        <v>10997</v>
      </c>
      <c r="I21" s="2">
        <v>4398</v>
      </c>
      <c r="J21" s="2">
        <v>6598</v>
      </c>
      <c r="K21" s="2">
        <v>879</v>
      </c>
      <c r="L21" s="2">
        <v>200</v>
      </c>
      <c r="M21" s="2">
        <v>160</v>
      </c>
      <c r="N21" s="2">
        <v>15</v>
      </c>
      <c r="O21" s="2">
        <v>137.46</v>
      </c>
      <c r="P21" s="2">
        <v>274.92</v>
      </c>
      <c r="Q21" s="2">
        <v>4123.8</v>
      </c>
      <c r="R21" s="2">
        <v>36034.800000000003</v>
      </c>
      <c r="S21" s="4">
        <v>44161.8</v>
      </c>
    </row>
    <row r="22" spans="1:19" x14ac:dyDescent="0.3">
      <c r="A22" s="3" t="s">
        <v>79</v>
      </c>
      <c r="B22" s="2" t="s">
        <v>276</v>
      </c>
      <c r="C22" s="2" t="s">
        <v>413</v>
      </c>
      <c r="D22" s="2">
        <v>737265</v>
      </c>
      <c r="E22" s="2">
        <v>746268</v>
      </c>
      <c r="F22" s="2">
        <v>56284</v>
      </c>
      <c r="G22" s="2">
        <v>5905</v>
      </c>
      <c r="H22" s="2">
        <v>28142</v>
      </c>
      <c r="I22" s="2">
        <v>11256</v>
      </c>
      <c r="J22" s="2">
        <v>16885</v>
      </c>
      <c r="K22" s="2">
        <v>2251</v>
      </c>
      <c r="L22" s="2">
        <v>200</v>
      </c>
      <c r="M22" s="2">
        <v>160</v>
      </c>
      <c r="N22" s="2">
        <v>10</v>
      </c>
      <c r="O22" s="2">
        <v>351.77</v>
      </c>
      <c r="P22" s="2">
        <v>703.54</v>
      </c>
      <c r="Q22" s="2">
        <v>7035.4</v>
      </c>
      <c r="R22" s="2">
        <v>89009.4</v>
      </c>
      <c r="S22" s="4">
        <v>94914.4</v>
      </c>
    </row>
    <row r="23" spans="1:19" x14ac:dyDescent="0.3">
      <c r="A23" s="3" t="s">
        <v>80</v>
      </c>
      <c r="B23" s="2" t="s">
        <v>277</v>
      </c>
      <c r="C23" s="2" t="s">
        <v>413</v>
      </c>
      <c r="D23" s="2">
        <v>739140</v>
      </c>
      <c r="E23" s="2">
        <v>386688</v>
      </c>
      <c r="F23" s="2">
        <v>23250</v>
      </c>
      <c r="G23" s="2">
        <v>8974</v>
      </c>
      <c r="H23" s="2">
        <v>11625</v>
      </c>
      <c r="I23" s="2">
        <v>4650</v>
      </c>
      <c r="J23" s="2">
        <v>6975</v>
      </c>
      <c r="K23" s="2">
        <v>930</v>
      </c>
      <c r="L23" s="2">
        <v>200</v>
      </c>
      <c r="M23" s="2">
        <v>160</v>
      </c>
      <c r="N23" s="2">
        <v>10</v>
      </c>
      <c r="O23" s="2">
        <v>145.31</v>
      </c>
      <c r="P23" s="2">
        <v>290.62</v>
      </c>
      <c r="Q23" s="2">
        <v>2906.2</v>
      </c>
      <c r="R23" s="2">
        <v>36651.199999999997</v>
      </c>
      <c r="S23" s="4">
        <v>45625.2</v>
      </c>
    </row>
    <row r="24" spans="1:19" x14ac:dyDescent="0.3">
      <c r="A24" s="3" t="s">
        <v>81</v>
      </c>
      <c r="B24" s="2" t="s">
        <v>278</v>
      </c>
      <c r="C24" s="2" t="s">
        <v>413</v>
      </c>
      <c r="D24" s="2">
        <v>739497</v>
      </c>
      <c r="E24" s="2">
        <v>359808</v>
      </c>
      <c r="F24" s="2">
        <v>22453</v>
      </c>
      <c r="G24" s="2">
        <v>7531</v>
      </c>
      <c r="H24" s="2">
        <v>11226</v>
      </c>
      <c r="I24" s="2">
        <v>4490</v>
      </c>
      <c r="J24" s="2">
        <v>6735</v>
      </c>
      <c r="K24" s="2">
        <v>898</v>
      </c>
      <c r="L24" s="2">
        <v>200</v>
      </c>
      <c r="M24" s="2">
        <v>160</v>
      </c>
      <c r="N24" s="2">
        <v>12</v>
      </c>
      <c r="O24" s="2">
        <v>140.33000000000001</v>
      </c>
      <c r="P24" s="2">
        <v>280.66000000000003</v>
      </c>
      <c r="Q24" s="2">
        <v>3367.92</v>
      </c>
      <c r="R24" s="2">
        <v>35947.919999999998</v>
      </c>
      <c r="S24" s="4">
        <v>43478.92</v>
      </c>
    </row>
    <row r="25" spans="1:19" x14ac:dyDescent="0.3">
      <c r="A25" s="3" t="s">
        <v>82</v>
      </c>
      <c r="B25" s="2" t="s">
        <v>279</v>
      </c>
      <c r="C25" s="2" t="s">
        <v>418</v>
      </c>
      <c r="D25" s="2">
        <v>737551</v>
      </c>
      <c r="E25" s="2">
        <v>712200</v>
      </c>
      <c r="F25" s="2">
        <v>55334</v>
      </c>
      <c r="G25" s="2">
        <v>4016</v>
      </c>
      <c r="H25" s="2">
        <v>27667</v>
      </c>
      <c r="I25" s="2">
        <v>11066</v>
      </c>
      <c r="J25" s="2">
        <v>16600</v>
      </c>
      <c r="K25" s="2">
        <v>2213</v>
      </c>
      <c r="L25" s="2">
        <v>200</v>
      </c>
      <c r="M25" s="2">
        <v>160</v>
      </c>
      <c r="N25" s="2">
        <v>6</v>
      </c>
      <c r="O25" s="2">
        <v>345.84</v>
      </c>
      <c r="P25" s="2">
        <v>691.68</v>
      </c>
      <c r="Q25" s="2">
        <v>4150.08</v>
      </c>
      <c r="R25" s="2">
        <v>84737.08</v>
      </c>
      <c r="S25" s="4">
        <v>88753.08</v>
      </c>
    </row>
    <row r="26" spans="1:19" x14ac:dyDescent="0.3">
      <c r="A26" s="3" t="s">
        <v>83</v>
      </c>
      <c r="B26" s="2" t="s">
        <v>280</v>
      </c>
      <c r="C26" s="2" t="s">
        <v>415</v>
      </c>
      <c r="D26" s="2">
        <v>737395</v>
      </c>
      <c r="E26" s="2">
        <v>634308</v>
      </c>
      <c r="F26" s="2">
        <v>45474</v>
      </c>
      <c r="G26" s="2">
        <v>7385</v>
      </c>
      <c r="H26" s="2">
        <v>22737</v>
      </c>
      <c r="I26" s="2">
        <v>9094</v>
      </c>
      <c r="J26" s="2">
        <v>13642</v>
      </c>
      <c r="K26" s="2">
        <v>1818</v>
      </c>
      <c r="L26" s="2">
        <v>200</v>
      </c>
      <c r="M26" s="2">
        <v>160</v>
      </c>
      <c r="N26" s="2">
        <v>15</v>
      </c>
      <c r="O26" s="2">
        <v>284.20999999999998</v>
      </c>
      <c r="P26" s="2">
        <v>568.41999999999996</v>
      </c>
      <c r="Q26" s="2">
        <v>8526.2999999999993</v>
      </c>
      <c r="R26" s="2">
        <v>74718.3</v>
      </c>
      <c r="S26" s="4">
        <v>82103.3</v>
      </c>
    </row>
    <row r="27" spans="1:19" x14ac:dyDescent="0.3">
      <c r="A27" s="3" t="s">
        <v>84</v>
      </c>
      <c r="B27" s="2" t="s">
        <v>281</v>
      </c>
      <c r="C27" s="2" t="s">
        <v>419</v>
      </c>
      <c r="D27" s="2">
        <v>737896</v>
      </c>
      <c r="E27" s="2">
        <v>510540</v>
      </c>
      <c r="F27" s="2">
        <v>38590</v>
      </c>
      <c r="G27" s="2">
        <v>3955</v>
      </c>
      <c r="H27" s="2">
        <v>19295</v>
      </c>
      <c r="I27" s="2">
        <v>7718</v>
      </c>
      <c r="J27" s="2">
        <v>11577</v>
      </c>
      <c r="K27" s="2">
        <v>1543</v>
      </c>
      <c r="L27" s="2">
        <v>200</v>
      </c>
      <c r="M27" s="2">
        <v>160</v>
      </c>
      <c r="N27" s="2">
        <v>13</v>
      </c>
      <c r="O27" s="2">
        <v>241.19</v>
      </c>
      <c r="P27" s="2">
        <v>482.38</v>
      </c>
      <c r="Q27" s="2">
        <v>6270.94</v>
      </c>
      <c r="R27" s="2">
        <v>62412.94</v>
      </c>
      <c r="S27" s="4">
        <v>66367.94</v>
      </c>
    </row>
    <row r="28" spans="1:19" x14ac:dyDescent="0.3">
      <c r="A28" s="3" t="s">
        <v>85</v>
      </c>
      <c r="B28" s="2" t="s">
        <v>282</v>
      </c>
      <c r="C28" s="2" t="s">
        <v>418</v>
      </c>
      <c r="D28" s="2">
        <v>737596</v>
      </c>
      <c r="E28" s="2">
        <v>520860</v>
      </c>
      <c r="F28" s="2">
        <v>37660</v>
      </c>
      <c r="G28" s="2">
        <v>5745</v>
      </c>
      <c r="H28" s="2">
        <v>18830</v>
      </c>
      <c r="I28" s="2">
        <v>7532</v>
      </c>
      <c r="J28" s="2">
        <v>11298</v>
      </c>
      <c r="K28" s="2">
        <v>1506</v>
      </c>
      <c r="L28" s="2">
        <v>200</v>
      </c>
      <c r="M28" s="2">
        <v>160</v>
      </c>
      <c r="N28" s="2">
        <v>15</v>
      </c>
      <c r="O28" s="2">
        <v>235.38</v>
      </c>
      <c r="P28" s="2">
        <v>470.76</v>
      </c>
      <c r="Q28" s="2">
        <v>7061.4</v>
      </c>
      <c r="R28" s="2">
        <v>61845.4</v>
      </c>
      <c r="S28" s="4">
        <v>67590.399999999994</v>
      </c>
    </row>
    <row r="29" spans="1:19" x14ac:dyDescent="0.3">
      <c r="A29" s="3" t="s">
        <v>86</v>
      </c>
      <c r="B29" s="2" t="s">
        <v>283</v>
      </c>
      <c r="C29" s="2" t="s">
        <v>417</v>
      </c>
      <c r="D29" s="2">
        <v>737357</v>
      </c>
      <c r="E29" s="2">
        <v>292368</v>
      </c>
      <c r="F29" s="2">
        <v>18610</v>
      </c>
      <c r="G29" s="2">
        <v>5754</v>
      </c>
      <c r="H29" s="2">
        <v>9305</v>
      </c>
      <c r="I29" s="2">
        <v>3722</v>
      </c>
      <c r="J29" s="2">
        <v>5583</v>
      </c>
      <c r="K29" s="2">
        <v>744</v>
      </c>
      <c r="L29" s="2">
        <v>200</v>
      </c>
      <c r="M29" s="2">
        <v>160</v>
      </c>
      <c r="N29" s="2">
        <v>8</v>
      </c>
      <c r="O29" s="2">
        <v>116.31</v>
      </c>
      <c r="P29" s="2">
        <v>232.62</v>
      </c>
      <c r="Q29" s="2">
        <v>1860.96</v>
      </c>
      <c r="R29" s="2">
        <v>28831.96</v>
      </c>
      <c r="S29" s="4">
        <v>34585.96</v>
      </c>
    </row>
    <row r="30" spans="1:19" x14ac:dyDescent="0.3">
      <c r="A30" s="3" t="s">
        <v>87</v>
      </c>
      <c r="B30" s="2" t="s">
        <v>284</v>
      </c>
      <c r="C30" s="2" t="s">
        <v>413</v>
      </c>
      <c r="D30" s="2">
        <v>739262</v>
      </c>
      <c r="E30" s="2">
        <v>457356</v>
      </c>
      <c r="F30" s="2">
        <v>31969</v>
      </c>
      <c r="G30" s="2">
        <v>6144</v>
      </c>
      <c r="H30" s="2">
        <v>15984</v>
      </c>
      <c r="I30" s="2">
        <v>6393</v>
      </c>
      <c r="J30" s="2">
        <v>9590</v>
      </c>
      <c r="K30" s="2">
        <v>1278</v>
      </c>
      <c r="L30" s="2">
        <v>200</v>
      </c>
      <c r="M30" s="2">
        <v>160</v>
      </c>
      <c r="N30" s="2">
        <v>13</v>
      </c>
      <c r="O30" s="2">
        <v>199.81</v>
      </c>
      <c r="P30" s="2">
        <v>399.62</v>
      </c>
      <c r="Q30" s="2">
        <v>5195.0600000000004</v>
      </c>
      <c r="R30" s="2">
        <v>51669.06</v>
      </c>
      <c r="S30" s="4">
        <v>57813.06</v>
      </c>
    </row>
    <row r="31" spans="1:19" x14ac:dyDescent="0.3">
      <c r="A31" s="3" t="s">
        <v>88</v>
      </c>
      <c r="B31" s="2" t="s">
        <v>285</v>
      </c>
      <c r="C31" s="2" t="s">
        <v>414</v>
      </c>
      <c r="D31" s="2">
        <v>738489</v>
      </c>
      <c r="E31" s="2">
        <v>380520</v>
      </c>
      <c r="F31" s="2">
        <v>22508</v>
      </c>
      <c r="G31" s="2">
        <v>9202</v>
      </c>
      <c r="H31" s="2">
        <v>11254</v>
      </c>
      <c r="I31" s="2">
        <v>4501</v>
      </c>
      <c r="J31" s="2">
        <v>6752</v>
      </c>
      <c r="K31" s="2">
        <v>900</v>
      </c>
      <c r="L31" s="2">
        <v>200</v>
      </c>
      <c r="M31" s="2">
        <v>160</v>
      </c>
      <c r="N31" s="2">
        <v>12</v>
      </c>
      <c r="O31" s="2">
        <v>140.68</v>
      </c>
      <c r="P31" s="2">
        <v>281.36</v>
      </c>
      <c r="Q31" s="2">
        <v>3376.32</v>
      </c>
      <c r="R31" s="2">
        <v>36037.32</v>
      </c>
      <c r="S31" s="4">
        <v>45239.32</v>
      </c>
    </row>
    <row r="32" spans="1:19" x14ac:dyDescent="0.3">
      <c r="A32" s="3" t="s">
        <v>89</v>
      </c>
      <c r="B32" s="2" t="s">
        <v>286</v>
      </c>
      <c r="C32" s="2" t="s">
        <v>419</v>
      </c>
      <c r="D32" s="2">
        <v>738227</v>
      </c>
      <c r="E32" s="2">
        <v>407124</v>
      </c>
      <c r="F32" s="2">
        <v>28338</v>
      </c>
      <c r="G32" s="2">
        <v>5589</v>
      </c>
      <c r="H32" s="2">
        <v>14169</v>
      </c>
      <c r="I32" s="2">
        <v>5667</v>
      </c>
      <c r="J32" s="2">
        <v>8501</v>
      </c>
      <c r="K32" s="2">
        <v>1133</v>
      </c>
      <c r="L32" s="2">
        <v>200</v>
      </c>
      <c r="M32" s="2">
        <v>160</v>
      </c>
      <c r="N32" s="2">
        <v>14</v>
      </c>
      <c r="O32" s="2">
        <v>177.11</v>
      </c>
      <c r="P32" s="2">
        <v>354.22</v>
      </c>
      <c r="Q32" s="2">
        <v>4959.08</v>
      </c>
      <c r="R32" s="2">
        <v>46132.08</v>
      </c>
      <c r="S32" s="4">
        <v>51721.08</v>
      </c>
    </row>
    <row r="33" spans="1:19" x14ac:dyDescent="0.3">
      <c r="A33" s="3" t="s">
        <v>90</v>
      </c>
      <c r="B33" s="2" t="s">
        <v>287</v>
      </c>
      <c r="C33" s="2" t="s">
        <v>415</v>
      </c>
      <c r="D33" s="2">
        <v>739226</v>
      </c>
      <c r="E33" s="2">
        <v>311796</v>
      </c>
      <c r="F33" s="2">
        <v>18512</v>
      </c>
      <c r="G33" s="2">
        <v>7471</v>
      </c>
      <c r="H33" s="2">
        <v>9256</v>
      </c>
      <c r="I33" s="2">
        <v>3702</v>
      </c>
      <c r="J33" s="2">
        <v>5553</v>
      </c>
      <c r="K33" s="2">
        <v>740</v>
      </c>
      <c r="L33" s="2">
        <v>200</v>
      </c>
      <c r="M33" s="2">
        <v>160</v>
      </c>
      <c r="N33" s="2">
        <v>14</v>
      </c>
      <c r="O33" s="2">
        <v>115.7</v>
      </c>
      <c r="P33" s="2">
        <v>231.4</v>
      </c>
      <c r="Q33" s="2">
        <v>3239.6</v>
      </c>
      <c r="R33" s="2">
        <v>30066.6</v>
      </c>
      <c r="S33" s="4">
        <v>37537.599999999999</v>
      </c>
    </row>
    <row r="34" spans="1:19" x14ac:dyDescent="0.3">
      <c r="A34" s="3" t="s">
        <v>91</v>
      </c>
      <c r="B34" s="2" t="s">
        <v>288</v>
      </c>
      <c r="C34" s="2" t="s">
        <v>416</v>
      </c>
      <c r="D34" s="2">
        <v>737484</v>
      </c>
      <c r="E34" s="2">
        <v>371592</v>
      </c>
      <c r="F34" s="2">
        <v>26800</v>
      </c>
      <c r="G34" s="2">
        <v>4166</v>
      </c>
      <c r="H34" s="2">
        <v>13400</v>
      </c>
      <c r="I34" s="2">
        <v>5360</v>
      </c>
      <c r="J34" s="2">
        <v>8040</v>
      </c>
      <c r="K34" s="2">
        <v>1072</v>
      </c>
      <c r="L34" s="2">
        <v>200</v>
      </c>
      <c r="M34" s="2">
        <v>160</v>
      </c>
      <c r="N34" s="2">
        <v>8</v>
      </c>
      <c r="O34" s="2">
        <v>167.5</v>
      </c>
      <c r="P34" s="2">
        <v>335</v>
      </c>
      <c r="Q34" s="2">
        <v>2680</v>
      </c>
      <c r="R34" s="2">
        <v>41608</v>
      </c>
      <c r="S34" s="4">
        <v>45774</v>
      </c>
    </row>
    <row r="35" spans="1:19" x14ac:dyDescent="0.3">
      <c r="A35" s="3" t="s">
        <v>92</v>
      </c>
      <c r="B35" s="2" t="s">
        <v>289</v>
      </c>
      <c r="C35" s="2" t="s">
        <v>413</v>
      </c>
      <c r="D35" s="2">
        <v>739326</v>
      </c>
      <c r="E35" s="2">
        <v>389016</v>
      </c>
      <c r="F35" s="2">
        <v>28187</v>
      </c>
      <c r="G35" s="2">
        <v>4231</v>
      </c>
      <c r="H35" s="2">
        <v>14093</v>
      </c>
      <c r="I35" s="2">
        <v>5637</v>
      </c>
      <c r="J35" s="2">
        <v>8456</v>
      </c>
      <c r="K35" s="2">
        <v>1127</v>
      </c>
      <c r="L35" s="2">
        <v>200</v>
      </c>
      <c r="M35" s="2">
        <v>160</v>
      </c>
      <c r="N35" s="2">
        <v>14</v>
      </c>
      <c r="O35" s="2">
        <v>176.17</v>
      </c>
      <c r="P35" s="2">
        <v>352.34</v>
      </c>
      <c r="Q35" s="2">
        <v>4932.76</v>
      </c>
      <c r="R35" s="2">
        <v>45885.760000000002</v>
      </c>
      <c r="S35" s="4">
        <v>50116.76</v>
      </c>
    </row>
    <row r="36" spans="1:19" x14ac:dyDescent="0.3">
      <c r="A36" s="3" t="s">
        <v>93</v>
      </c>
      <c r="B36" s="2" t="s">
        <v>290</v>
      </c>
      <c r="C36" s="2" t="s">
        <v>415</v>
      </c>
      <c r="D36" s="2">
        <v>737922</v>
      </c>
      <c r="E36" s="2">
        <v>529656</v>
      </c>
      <c r="F36" s="2">
        <v>40471</v>
      </c>
      <c r="G36" s="2">
        <v>3667</v>
      </c>
      <c r="H36" s="2">
        <v>20235</v>
      </c>
      <c r="I36" s="2">
        <v>8094</v>
      </c>
      <c r="J36" s="2">
        <v>12141</v>
      </c>
      <c r="K36" s="2">
        <v>1618</v>
      </c>
      <c r="L36" s="2">
        <v>200</v>
      </c>
      <c r="M36" s="2">
        <v>160</v>
      </c>
      <c r="N36" s="2">
        <v>13</v>
      </c>
      <c r="O36" s="2">
        <v>252.94</v>
      </c>
      <c r="P36" s="2">
        <v>505.88</v>
      </c>
      <c r="Q36" s="2">
        <v>6576.44</v>
      </c>
      <c r="R36" s="2">
        <v>65464.44</v>
      </c>
      <c r="S36" s="4">
        <v>69131.44</v>
      </c>
    </row>
    <row r="37" spans="1:19" x14ac:dyDescent="0.3">
      <c r="A37" s="3" t="s">
        <v>94</v>
      </c>
      <c r="B37" s="2" t="s">
        <v>291</v>
      </c>
      <c r="C37" s="2" t="s">
        <v>415</v>
      </c>
      <c r="D37" s="2">
        <v>739061</v>
      </c>
      <c r="E37" s="2">
        <v>526476</v>
      </c>
      <c r="F37" s="2">
        <v>34457</v>
      </c>
      <c r="G37" s="2">
        <v>9416</v>
      </c>
      <c r="H37" s="2">
        <v>17228</v>
      </c>
      <c r="I37" s="2">
        <v>6891</v>
      </c>
      <c r="J37" s="2">
        <v>10337</v>
      </c>
      <c r="K37" s="2">
        <v>1378</v>
      </c>
      <c r="L37" s="2">
        <v>200</v>
      </c>
      <c r="M37" s="2">
        <v>160</v>
      </c>
      <c r="N37" s="2">
        <v>6</v>
      </c>
      <c r="O37" s="2">
        <v>215.36</v>
      </c>
      <c r="P37" s="2">
        <v>430.72</v>
      </c>
      <c r="Q37" s="2">
        <v>2584.3200000000002</v>
      </c>
      <c r="R37" s="2">
        <v>52691.32</v>
      </c>
      <c r="S37" s="4">
        <v>62107.32</v>
      </c>
    </row>
    <row r="38" spans="1:19" x14ac:dyDescent="0.3">
      <c r="A38" s="3" t="s">
        <v>95</v>
      </c>
      <c r="B38" s="2" t="s">
        <v>292</v>
      </c>
      <c r="C38" s="2" t="s">
        <v>413</v>
      </c>
      <c r="D38" s="2">
        <v>738794</v>
      </c>
      <c r="E38" s="2">
        <v>461916</v>
      </c>
      <c r="F38" s="2">
        <v>36132</v>
      </c>
      <c r="G38" s="2">
        <v>2361</v>
      </c>
      <c r="H38" s="2">
        <v>18066</v>
      </c>
      <c r="I38" s="2">
        <v>7226</v>
      </c>
      <c r="J38" s="2">
        <v>10839</v>
      </c>
      <c r="K38" s="2">
        <v>1445</v>
      </c>
      <c r="L38" s="2">
        <v>200</v>
      </c>
      <c r="M38" s="2">
        <v>160</v>
      </c>
      <c r="N38" s="2">
        <v>5</v>
      </c>
      <c r="O38" s="2">
        <v>225.82</v>
      </c>
      <c r="P38" s="2">
        <v>451.64</v>
      </c>
      <c r="Q38" s="2">
        <v>2258.1999999999998</v>
      </c>
      <c r="R38" s="2">
        <v>54810.2</v>
      </c>
      <c r="S38" s="4">
        <v>57171.199999999997</v>
      </c>
    </row>
    <row r="39" spans="1:19" x14ac:dyDescent="0.3">
      <c r="A39" s="3" t="s">
        <v>96</v>
      </c>
      <c r="B39" s="2" t="s">
        <v>293</v>
      </c>
      <c r="C39" s="2" t="s">
        <v>419</v>
      </c>
      <c r="D39" s="2">
        <v>737595</v>
      </c>
      <c r="E39" s="2">
        <v>766776</v>
      </c>
      <c r="F39" s="2">
        <v>59753</v>
      </c>
      <c r="G39" s="2">
        <v>4145</v>
      </c>
      <c r="H39" s="2">
        <v>29876</v>
      </c>
      <c r="I39" s="2">
        <v>11950</v>
      </c>
      <c r="J39" s="2">
        <v>17925</v>
      </c>
      <c r="K39" s="2">
        <v>2390</v>
      </c>
      <c r="L39" s="2">
        <v>200</v>
      </c>
      <c r="M39" s="2">
        <v>160</v>
      </c>
      <c r="N39" s="2">
        <v>10</v>
      </c>
      <c r="O39" s="2">
        <v>373.46</v>
      </c>
      <c r="P39" s="2">
        <v>746.92</v>
      </c>
      <c r="Q39" s="2">
        <v>7469.2</v>
      </c>
      <c r="R39" s="2">
        <v>94507.199999999997</v>
      </c>
      <c r="S39" s="4">
        <v>98652.2</v>
      </c>
    </row>
    <row r="40" spans="1:19" x14ac:dyDescent="0.3">
      <c r="A40" s="3" t="s">
        <v>97</v>
      </c>
      <c r="B40" s="2" t="s">
        <v>294</v>
      </c>
      <c r="C40" s="2" t="s">
        <v>416</v>
      </c>
      <c r="D40" s="2">
        <v>738869</v>
      </c>
      <c r="E40" s="2">
        <v>743208</v>
      </c>
      <c r="F40" s="2">
        <v>54154</v>
      </c>
      <c r="G40" s="2">
        <v>7780</v>
      </c>
      <c r="H40" s="2">
        <v>27077</v>
      </c>
      <c r="I40" s="2">
        <v>10830</v>
      </c>
      <c r="J40" s="2">
        <v>16246</v>
      </c>
      <c r="K40" s="2">
        <v>2166</v>
      </c>
      <c r="L40" s="2">
        <v>200</v>
      </c>
      <c r="M40" s="2">
        <v>160</v>
      </c>
      <c r="N40" s="2">
        <v>18</v>
      </c>
      <c r="O40" s="2">
        <v>338.46</v>
      </c>
      <c r="P40" s="2">
        <v>676.92</v>
      </c>
      <c r="Q40" s="2">
        <v>12184.56</v>
      </c>
      <c r="R40" s="2">
        <v>91048.56</v>
      </c>
      <c r="S40" s="4">
        <v>98828.56</v>
      </c>
    </row>
    <row r="41" spans="1:19" x14ac:dyDescent="0.3">
      <c r="A41" s="8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 t="s">
        <v>420</v>
      </c>
      <c r="S41" s="10">
        <f>MEDIAN(S1:S40)</f>
        <v>61060.36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C97D4-5521-4043-A6D5-9D9CE8F98802}">
  <sheetPr codeName="Sheet3"/>
  <dimension ref="A1:S41"/>
  <sheetViews>
    <sheetView topLeftCell="A37" workbookViewId="0">
      <selection activeCell="O49" sqref="O49"/>
    </sheetView>
  </sheetViews>
  <sheetFormatPr defaultRowHeight="14.4" x14ac:dyDescent="0.3"/>
  <cols>
    <col min="1" max="1" width="14" customWidth="1"/>
    <col min="2" max="2" width="17.21875" customWidth="1"/>
    <col min="3" max="3" width="13" customWidth="1"/>
    <col min="4" max="4" width="16.44140625" customWidth="1"/>
    <col min="5" max="5" width="13.109375" customWidth="1"/>
    <col min="6" max="6" width="21.5546875" customWidth="1"/>
    <col min="7" max="7" width="22.109375" customWidth="1"/>
    <col min="8" max="8" width="13.21875" customWidth="1"/>
    <col min="10" max="10" width="12.33203125" customWidth="1"/>
    <col min="11" max="11" width="14.5546875" customWidth="1"/>
    <col min="12" max="12" width="17" customWidth="1"/>
    <col min="13" max="13" width="20.44140625" customWidth="1"/>
    <col min="14" max="14" width="23.77734375" customWidth="1"/>
    <col min="15" max="15" width="18.88671875" customWidth="1"/>
    <col min="16" max="16" width="23.33203125" customWidth="1"/>
    <col min="17" max="17" width="15.33203125" customWidth="1"/>
    <col min="18" max="18" width="36.33203125" customWidth="1"/>
    <col min="19" max="19" width="36" customWidth="1"/>
  </cols>
  <sheetData>
    <row r="1" spans="1:19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7" t="s">
        <v>18</v>
      </c>
    </row>
    <row r="2" spans="1:19" x14ac:dyDescent="0.3">
      <c r="A2" s="3" t="s">
        <v>98</v>
      </c>
      <c r="B2" s="2" t="s">
        <v>295</v>
      </c>
      <c r="C2" s="2" t="s">
        <v>413</v>
      </c>
      <c r="D2" s="2">
        <v>737518</v>
      </c>
      <c r="E2" s="2">
        <v>392064</v>
      </c>
      <c r="F2" s="2">
        <v>22931</v>
      </c>
      <c r="G2" s="2">
        <v>9741</v>
      </c>
      <c r="H2" s="2">
        <v>11465</v>
      </c>
      <c r="I2" s="2">
        <v>4586</v>
      </c>
      <c r="J2" s="2">
        <v>6879</v>
      </c>
      <c r="K2" s="2">
        <v>917</v>
      </c>
      <c r="L2" s="2">
        <v>200</v>
      </c>
      <c r="M2" s="2">
        <v>160</v>
      </c>
      <c r="N2" s="2">
        <v>9</v>
      </c>
      <c r="O2" s="2">
        <v>143.32</v>
      </c>
      <c r="P2" s="2">
        <v>286.64</v>
      </c>
      <c r="Q2" s="2">
        <v>2579.7600000000002</v>
      </c>
      <c r="R2" s="2">
        <v>35858.76</v>
      </c>
      <c r="S2" s="4">
        <v>45599.76</v>
      </c>
    </row>
    <row r="3" spans="1:19" x14ac:dyDescent="0.3">
      <c r="A3" s="3" t="s">
        <v>99</v>
      </c>
      <c r="B3" s="2" t="s">
        <v>296</v>
      </c>
      <c r="C3" s="2" t="s">
        <v>415</v>
      </c>
      <c r="D3" s="2">
        <v>737207</v>
      </c>
      <c r="E3" s="2">
        <v>587604</v>
      </c>
      <c r="F3" s="2">
        <v>42196</v>
      </c>
      <c r="G3" s="2">
        <v>6771</v>
      </c>
      <c r="H3" s="2">
        <v>21098</v>
      </c>
      <c r="I3" s="2">
        <v>8439</v>
      </c>
      <c r="J3" s="2">
        <v>12658</v>
      </c>
      <c r="K3" s="2">
        <v>1687</v>
      </c>
      <c r="L3" s="2">
        <v>200</v>
      </c>
      <c r="M3" s="2">
        <v>160</v>
      </c>
      <c r="N3" s="2">
        <v>9</v>
      </c>
      <c r="O3" s="2">
        <v>263.73</v>
      </c>
      <c r="P3" s="2">
        <v>527.46</v>
      </c>
      <c r="Q3" s="2">
        <v>4747.1400000000003</v>
      </c>
      <c r="R3" s="2">
        <v>66153.14</v>
      </c>
      <c r="S3" s="4">
        <v>72924.14</v>
      </c>
    </row>
    <row r="4" spans="1:19" x14ac:dyDescent="0.3">
      <c r="A4" s="3" t="s">
        <v>100</v>
      </c>
      <c r="B4" s="2" t="s">
        <v>297</v>
      </c>
      <c r="C4" s="2" t="s">
        <v>418</v>
      </c>
      <c r="D4" s="2">
        <v>737582</v>
      </c>
      <c r="E4" s="2">
        <v>303192</v>
      </c>
      <c r="F4" s="2">
        <v>20741</v>
      </c>
      <c r="G4" s="2">
        <v>4525</v>
      </c>
      <c r="H4" s="2">
        <v>10370</v>
      </c>
      <c r="I4" s="2">
        <v>4148</v>
      </c>
      <c r="J4" s="2">
        <v>6222</v>
      </c>
      <c r="K4" s="2">
        <v>829</v>
      </c>
      <c r="L4" s="2">
        <v>200</v>
      </c>
      <c r="M4" s="2">
        <v>160</v>
      </c>
      <c r="N4" s="2">
        <v>16</v>
      </c>
      <c r="O4" s="2">
        <v>129.63</v>
      </c>
      <c r="P4" s="2">
        <v>259.26</v>
      </c>
      <c r="Q4" s="2">
        <v>4148.16</v>
      </c>
      <c r="R4" s="2">
        <v>34230.160000000003</v>
      </c>
      <c r="S4" s="4">
        <v>38755.160000000003</v>
      </c>
    </row>
    <row r="5" spans="1:19" x14ac:dyDescent="0.3">
      <c r="A5" s="3" t="s">
        <v>101</v>
      </c>
      <c r="B5" s="2" t="s">
        <v>298</v>
      </c>
      <c r="C5" s="2" t="s">
        <v>417</v>
      </c>
      <c r="D5" s="2">
        <v>737223</v>
      </c>
      <c r="E5" s="2">
        <v>542028</v>
      </c>
      <c r="F5" s="2">
        <v>41449</v>
      </c>
      <c r="G5" s="2">
        <v>3720</v>
      </c>
      <c r="H5" s="2">
        <v>20724</v>
      </c>
      <c r="I5" s="2">
        <v>8289</v>
      </c>
      <c r="J5" s="2">
        <v>12434</v>
      </c>
      <c r="K5" s="2">
        <v>1657</v>
      </c>
      <c r="L5" s="2">
        <v>200</v>
      </c>
      <c r="M5" s="2">
        <v>160</v>
      </c>
      <c r="N5" s="2">
        <v>12</v>
      </c>
      <c r="O5" s="2">
        <v>259.06</v>
      </c>
      <c r="P5" s="2">
        <v>518.12</v>
      </c>
      <c r="Q5" s="2">
        <v>6217.44</v>
      </c>
      <c r="R5" s="2">
        <v>66532.44</v>
      </c>
      <c r="S5" s="4">
        <v>70252.44</v>
      </c>
    </row>
    <row r="6" spans="1:19" x14ac:dyDescent="0.3">
      <c r="A6" s="3" t="s">
        <v>102</v>
      </c>
      <c r="B6" s="2" t="s">
        <v>299</v>
      </c>
      <c r="C6" s="2" t="s">
        <v>416</v>
      </c>
      <c r="D6" s="2">
        <v>737481</v>
      </c>
      <c r="E6" s="2">
        <v>594816</v>
      </c>
      <c r="F6" s="2">
        <v>41178</v>
      </c>
      <c r="G6" s="2">
        <v>8390</v>
      </c>
      <c r="H6" s="2">
        <v>20589</v>
      </c>
      <c r="I6" s="2">
        <v>8235</v>
      </c>
      <c r="J6" s="2">
        <v>12353</v>
      </c>
      <c r="K6" s="2">
        <v>1647</v>
      </c>
      <c r="L6" s="2">
        <v>200</v>
      </c>
      <c r="M6" s="2">
        <v>160</v>
      </c>
      <c r="N6" s="2">
        <v>18</v>
      </c>
      <c r="O6" s="2">
        <v>257.36</v>
      </c>
      <c r="P6" s="2">
        <v>514.72</v>
      </c>
      <c r="Q6" s="2">
        <v>9264.9599999999991</v>
      </c>
      <c r="R6" s="2">
        <v>69183.959999999992</v>
      </c>
      <c r="S6" s="4">
        <v>77573.959999999992</v>
      </c>
    </row>
    <row r="7" spans="1:19" x14ac:dyDescent="0.3">
      <c r="A7" s="3" t="s">
        <v>103</v>
      </c>
      <c r="B7" s="2" t="s">
        <v>300</v>
      </c>
      <c r="C7" s="2" t="s">
        <v>415</v>
      </c>
      <c r="D7" s="2">
        <v>737693</v>
      </c>
      <c r="E7" s="2">
        <v>511152</v>
      </c>
      <c r="F7" s="2">
        <v>33514</v>
      </c>
      <c r="G7" s="2">
        <v>9082</v>
      </c>
      <c r="H7" s="2">
        <v>16757</v>
      </c>
      <c r="I7" s="2">
        <v>6702</v>
      </c>
      <c r="J7" s="2">
        <v>10054</v>
      </c>
      <c r="K7" s="2">
        <v>1340</v>
      </c>
      <c r="L7" s="2">
        <v>200</v>
      </c>
      <c r="M7" s="2">
        <v>160</v>
      </c>
      <c r="N7" s="2">
        <v>10</v>
      </c>
      <c r="O7" s="2">
        <v>209.46</v>
      </c>
      <c r="P7" s="2">
        <v>418.92</v>
      </c>
      <c r="Q7" s="2">
        <v>4189.2</v>
      </c>
      <c r="R7" s="2">
        <v>52919.199999999997</v>
      </c>
      <c r="S7" s="4">
        <v>62001.2</v>
      </c>
    </row>
    <row r="8" spans="1:19" x14ac:dyDescent="0.3">
      <c r="A8" s="3" t="s">
        <v>104</v>
      </c>
      <c r="B8" s="2" t="s">
        <v>301</v>
      </c>
      <c r="C8" s="2" t="s">
        <v>417</v>
      </c>
      <c r="D8" s="2">
        <v>737785</v>
      </c>
      <c r="E8" s="2">
        <v>566676</v>
      </c>
      <c r="F8" s="2">
        <v>45020</v>
      </c>
      <c r="G8" s="2">
        <v>2203</v>
      </c>
      <c r="H8" s="2">
        <v>22510</v>
      </c>
      <c r="I8" s="2">
        <v>9004</v>
      </c>
      <c r="J8" s="2">
        <v>13506</v>
      </c>
      <c r="K8" s="2">
        <v>1800</v>
      </c>
      <c r="L8" s="2">
        <v>200</v>
      </c>
      <c r="M8" s="2">
        <v>160</v>
      </c>
      <c r="N8" s="2">
        <v>10</v>
      </c>
      <c r="O8" s="2">
        <v>281.38</v>
      </c>
      <c r="P8" s="2">
        <v>562.76</v>
      </c>
      <c r="Q8" s="2">
        <v>5627.6</v>
      </c>
      <c r="R8" s="2">
        <v>71157.600000000006</v>
      </c>
      <c r="S8" s="4">
        <v>73360.600000000006</v>
      </c>
    </row>
    <row r="9" spans="1:19" x14ac:dyDescent="0.3">
      <c r="A9" s="3" t="s">
        <v>105</v>
      </c>
      <c r="B9" s="2" t="s">
        <v>302</v>
      </c>
      <c r="C9" s="2" t="s">
        <v>416</v>
      </c>
      <c r="D9" s="2">
        <v>738420</v>
      </c>
      <c r="E9" s="2">
        <v>642636</v>
      </c>
      <c r="F9" s="2">
        <v>44982</v>
      </c>
      <c r="G9" s="2">
        <v>8571</v>
      </c>
      <c r="H9" s="2">
        <v>22491</v>
      </c>
      <c r="I9" s="2">
        <v>8996</v>
      </c>
      <c r="J9" s="2">
        <v>13494</v>
      </c>
      <c r="K9" s="2">
        <v>1799</v>
      </c>
      <c r="L9" s="2">
        <v>200</v>
      </c>
      <c r="M9" s="2">
        <v>160</v>
      </c>
      <c r="N9" s="2">
        <v>12</v>
      </c>
      <c r="O9" s="2">
        <v>281.14</v>
      </c>
      <c r="P9" s="2">
        <v>562.28</v>
      </c>
      <c r="Q9" s="2">
        <v>6747.36</v>
      </c>
      <c r="R9" s="2">
        <v>72220.36</v>
      </c>
      <c r="S9" s="4">
        <v>80791.360000000001</v>
      </c>
    </row>
    <row r="10" spans="1:19" x14ac:dyDescent="0.3">
      <c r="A10" s="3" t="s">
        <v>106</v>
      </c>
      <c r="B10" s="2" t="s">
        <v>303</v>
      </c>
      <c r="C10" s="2" t="s">
        <v>419</v>
      </c>
      <c r="D10" s="2">
        <v>737712</v>
      </c>
      <c r="E10" s="2">
        <v>362604</v>
      </c>
      <c r="F10" s="2">
        <v>25084</v>
      </c>
      <c r="G10" s="2">
        <v>5133</v>
      </c>
      <c r="H10" s="2">
        <v>12542</v>
      </c>
      <c r="I10" s="2">
        <v>5016</v>
      </c>
      <c r="J10" s="2">
        <v>7525</v>
      </c>
      <c r="K10" s="2">
        <v>1003</v>
      </c>
      <c r="L10" s="2">
        <v>200</v>
      </c>
      <c r="M10" s="2">
        <v>160</v>
      </c>
      <c r="N10" s="2">
        <v>6</v>
      </c>
      <c r="O10" s="2">
        <v>156.78</v>
      </c>
      <c r="P10" s="2">
        <v>313.56</v>
      </c>
      <c r="Q10" s="2">
        <v>1881.36</v>
      </c>
      <c r="R10" s="2">
        <v>38303.360000000001</v>
      </c>
      <c r="S10" s="4">
        <v>43436.36</v>
      </c>
    </row>
    <row r="11" spans="1:19" x14ac:dyDescent="0.3">
      <c r="A11" s="3" t="s">
        <v>107</v>
      </c>
      <c r="B11" s="2" t="s">
        <v>304</v>
      </c>
      <c r="C11" s="2" t="s">
        <v>417</v>
      </c>
      <c r="D11" s="2">
        <v>738987</v>
      </c>
      <c r="E11" s="2">
        <v>434532</v>
      </c>
      <c r="F11" s="2">
        <v>32577</v>
      </c>
      <c r="G11" s="2">
        <v>3634</v>
      </c>
      <c r="H11" s="2">
        <v>16288</v>
      </c>
      <c r="I11" s="2">
        <v>6515</v>
      </c>
      <c r="J11" s="2">
        <v>9773</v>
      </c>
      <c r="K11" s="2">
        <v>1303</v>
      </c>
      <c r="L11" s="2">
        <v>200</v>
      </c>
      <c r="M11" s="2">
        <v>160</v>
      </c>
      <c r="N11" s="2">
        <v>19</v>
      </c>
      <c r="O11" s="2">
        <v>203.61</v>
      </c>
      <c r="P11" s="2">
        <v>407.22</v>
      </c>
      <c r="Q11" s="2">
        <v>7737.18</v>
      </c>
      <c r="R11" s="2">
        <v>55099.18</v>
      </c>
      <c r="S11" s="4">
        <v>58733.18</v>
      </c>
    </row>
    <row r="12" spans="1:19" x14ac:dyDescent="0.3">
      <c r="A12" s="3" t="s">
        <v>108</v>
      </c>
      <c r="B12" s="2" t="s">
        <v>305</v>
      </c>
      <c r="C12" s="2" t="s">
        <v>419</v>
      </c>
      <c r="D12" s="2">
        <v>738310</v>
      </c>
      <c r="E12" s="2">
        <v>440892</v>
      </c>
      <c r="F12" s="2">
        <v>32915</v>
      </c>
      <c r="G12" s="2">
        <v>3826</v>
      </c>
      <c r="H12" s="2">
        <v>16457</v>
      </c>
      <c r="I12" s="2">
        <v>6582</v>
      </c>
      <c r="J12" s="2">
        <v>9874</v>
      </c>
      <c r="K12" s="2">
        <v>1316</v>
      </c>
      <c r="L12" s="2">
        <v>200</v>
      </c>
      <c r="M12" s="2">
        <v>160</v>
      </c>
      <c r="N12" s="2">
        <v>5</v>
      </c>
      <c r="O12" s="2">
        <v>205.72</v>
      </c>
      <c r="P12" s="2">
        <v>411.44</v>
      </c>
      <c r="Q12" s="2">
        <v>2057.1999999999998</v>
      </c>
      <c r="R12" s="2">
        <v>49912.2</v>
      </c>
      <c r="S12" s="4">
        <v>53738.2</v>
      </c>
    </row>
    <row r="13" spans="1:19" x14ac:dyDescent="0.3">
      <c r="A13" s="3" t="s">
        <v>109</v>
      </c>
      <c r="B13" s="2" t="s">
        <v>306</v>
      </c>
      <c r="C13" s="2" t="s">
        <v>416</v>
      </c>
      <c r="D13" s="2">
        <v>737851</v>
      </c>
      <c r="E13" s="2">
        <v>585624</v>
      </c>
      <c r="F13" s="2">
        <v>44113</v>
      </c>
      <c r="G13" s="2">
        <v>4689</v>
      </c>
      <c r="H13" s="2">
        <v>22056</v>
      </c>
      <c r="I13" s="2">
        <v>8822</v>
      </c>
      <c r="J13" s="2">
        <v>13233</v>
      </c>
      <c r="K13" s="2">
        <v>1764</v>
      </c>
      <c r="L13" s="2">
        <v>200</v>
      </c>
      <c r="M13" s="2">
        <v>160</v>
      </c>
      <c r="N13" s="2">
        <v>13</v>
      </c>
      <c r="O13" s="2">
        <v>275.70999999999998</v>
      </c>
      <c r="P13" s="2">
        <v>551.41999999999996</v>
      </c>
      <c r="Q13" s="2">
        <v>7168.46</v>
      </c>
      <c r="R13" s="2">
        <v>71372.460000000006</v>
      </c>
      <c r="S13" s="4">
        <v>76061.460000000006</v>
      </c>
    </row>
    <row r="14" spans="1:19" x14ac:dyDescent="0.3">
      <c r="A14" s="3" t="s">
        <v>110</v>
      </c>
      <c r="B14" s="2" t="s">
        <v>307</v>
      </c>
      <c r="C14" s="2" t="s">
        <v>417</v>
      </c>
      <c r="D14" s="2">
        <v>737344</v>
      </c>
      <c r="E14" s="2">
        <v>494016</v>
      </c>
      <c r="F14" s="2">
        <v>36292</v>
      </c>
      <c r="G14" s="2">
        <v>4876</v>
      </c>
      <c r="H14" s="2">
        <v>18146</v>
      </c>
      <c r="I14" s="2">
        <v>7258</v>
      </c>
      <c r="J14" s="2">
        <v>10887</v>
      </c>
      <c r="K14" s="2">
        <v>1451</v>
      </c>
      <c r="L14" s="2">
        <v>200</v>
      </c>
      <c r="M14" s="2">
        <v>160</v>
      </c>
      <c r="N14" s="2">
        <v>17</v>
      </c>
      <c r="O14" s="2">
        <v>226.82</v>
      </c>
      <c r="P14" s="2">
        <v>453.64</v>
      </c>
      <c r="Q14" s="2">
        <v>7711.88</v>
      </c>
      <c r="R14" s="2">
        <v>60497.88</v>
      </c>
      <c r="S14" s="4">
        <v>65373.88</v>
      </c>
    </row>
    <row r="15" spans="1:19" x14ac:dyDescent="0.3">
      <c r="A15" s="3" t="s">
        <v>111</v>
      </c>
      <c r="B15" s="2" t="s">
        <v>308</v>
      </c>
      <c r="C15" s="2" t="s">
        <v>416</v>
      </c>
      <c r="D15" s="2">
        <v>739256</v>
      </c>
      <c r="E15" s="2">
        <v>592752</v>
      </c>
      <c r="F15" s="2">
        <v>39702</v>
      </c>
      <c r="G15" s="2">
        <v>9694</v>
      </c>
      <c r="H15" s="2">
        <v>19851</v>
      </c>
      <c r="I15" s="2">
        <v>7940</v>
      </c>
      <c r="J15" s="2">
        <v>11910</v>
      </c>
      <c r="K15" s="2">
        <v>1588</v>
      </c>
      <c r="L15" s="2">
        <v>200</v>
      </c>
      <c r="M15" s="2">
        <v>160</v>
      </c>
      <c r="N15" s="2">
        <v>5</v>
      </c>
      <c r="O15" s="2">
        <v>248.14</v>
      </c>
      <c r="P15" s="2">
        <v>496.28</v>
      </c>
      <c r="Q15" s="2">
        <v>2481.4</v>
      </c>
      <c r="R15" s="2">
        <v>60245.4</v>
      </c>
      <c r="S15" s="4">
        <v>69939.399999999994</v>
      </c>
    </row>
    <row r="16" spans="1:19" x14ac:dyDescent="0.3">
      <c r="A16" s="3" t="s">
        <v>112</v>
      </c>
      <c r="B16" s="2" t="s">
        <v>309</v>
      </c>
      <c r="C16" s="2" t="s">
        <v>413</v>
      </c>
      <c r="D16" s="2">
        <v>738129</v>
      </c>
      <c r="E16" s="2">
        <v>437496</v>
      </c>
      <c r="F16" s="2">
        <v>29702</v>
      </c>
      <c r="G16" s="2">
        <v>6756</v>
      </c>
      <c r="H16" s="2">
        <v>14851</v>
      </c>
      <c r="I16" s="2">
        <v>5940</v>
      </c>
      <c r="J16" s="2">
        <v>8910</v>
      </c>
      <c r="K16" s="2">
        <v>1188</v>
      </c>
      <c r="L16" s="2">
        <v>200</v>
      </c>
      <c r="M16" s="2">
        <v>160</v>
      </c>
      <c r="N16" s="2">
        <v>13</v>
      </c>
      <c r="O16" s="2">
        <v>185.64</v>
      </c>
      <c r="P16" s="2">
        <v>371.28</v>
      </c>
      <c r="Q16" s="2">
        <v>4826.6400000000003</v>
      </c>
      <c r="R16" s="2">
        <v>47990.64</v>
      </c>
      <c r="S16" s="4">
        <v>54746.64</v>
      </c>
    </row>
    <row r="17" spans="1:19" x14ac:dyDescent="0.3">
      <c r="A17" s="3" t="s">
        <v>113</v>
      </c>
      <c r="B17" s="2" t="s">
        <v>310</v>
      </c>
      <c r="C17" s="2" t="s">
        <v>413</v>
      </c>
      <c r="D17" s="2">
        <v>737504</v>
      </c>
      <c r="E17" s="2">
        <v>751860</v>
      </c>
      <c r="F17" s="2">
        <v>57096</v>
      </c>
      <c r="G17" s="2">
        <v>5559</v>
      </c>
      <c r="H17" s="2">
        <v>28548</v>
      </c>
      <c r="I17" s="2">
        <v>11419</v>
      </c>
      <c r="J17" s="2">
        <v>17128</v>
      </c>
      <c r="K17" s="2">
        <v>2283</v>
      </c>
      <c r="L17" s="2">
        <v>200</v>
      </c>
      <c r="M17" s="2">
        <v>160</v>
      </c>
      <c r="N17" s="2">
        <v>16</v>
      </c>
      <c r="O17" s="2">
        <v>356.85</v>
      </c>
      <c r="P17" s="2">
        <v>713.7</v>
      </c>
      <c r="Q17" s="2">
        <v>11419.2</v>
      </c>
      <c r="R17" s="2">
        <v>94579.199999999997</v>
      </c>
      <c r="S17" s="4">
        <v>100138.2</v>
      </c>
    </row>
    <row r="18" spans="1:19" x14ac:dyDescent="0.3">
      <c r="A18" s="3" t="s">
        <v>114</v>
      </c>
      <c r="B18" s="2" t="s">
        <v>311</v>
      </c>
      <c r="C18" s="2" t="s">
        <v>416</v>
      </c>
      <c r="D18" s="2">
        <v>738344</v>
      </c>
      <c r="E18" s="2">
        <v>642780</v>
      </c>
      <c r="F18" s="2">
        <v>46599</v>
      </c>
      <c r="G18" s="2">
        <v>6966</v>
      </c>
      <c r="H18" s="2">
        <v>23299</v>
      </c>
      <c r="I18" s="2">
        <v>9319</v>
      </c>
      <c r="J18" s="2">
        <v>13979</v>
      </c>
      <c r="K18" s="2">
        <v>1863</v>
      </c>
      <c r="L18" s="2">
        <v>200</v>
      </c>
      <c r="M18" s="2">
        <v>160</v>
      </c>
      <c r="N18" s="2">
        <v>8</v>
      </c>
      <c r="O18" s="2">
        <v>291.24</v>
      </c>
      <c r="P18" s="2">
        <v>582.48</v>
      </c>
      <c r="Q18" s="2">
        <v>4659.84</v>
      </c>
      <c r="R18" s="2">
        <v>72493.84</v>
      </c>
      <c r="S18" s="4">
        <v>79459.839999999997</v>
      </c>
    </row>
    <row r="19" spans="1:19" x14ac:dyDescent="0.3">
      <c r="A19" s="3" t="s">
        <v>115</v>
      </c>
      <c r="B19" s="2" t="s">
        <v>312</v>
      </c>
      <c r="C19" s="2" t="s">
        <v>418</v>
      </c>
      <c r="D19" s="2">
        <v>739421</v>
      </c>
      <c r="E19" s="2">
        <v>414516</v>
      </c>
      <c r="F19" s="2">
        <v>30457</v>
      </c>
      <c r="G19" s="2">
        <v>4086</v>
      </c>
      <c r="H19" s="2">
        <v>15228</v>
      </c>
      <c r="I19" s="2">
        <v>6091</v>
      </c>
      <c r="J19" s="2">
        <v>9137</v>
      </c>
      <c r="K19" s="2">
        <v>1218</v>
      </c>
      <c r="L19" s="2">
        <v>200</v>
      </c>
      <c r="M19" s="2">
        <v>160</v>
      </c>
      <c r="N19" s="2">
        <v>6</v>
      </c>
      <c r="O19" s="2">
        <v>190.36</v>
      </c>
      <c r="P19" s="2">
        <v>380.72</v>
      </c>
      <c r="Q19" s="2">
        <v>2284.3200000000002</v>
      </c>
      <c r="R19" s="2">
        <v>46551.32</v>
      </c>
      <c r="S19" s="4">
        <v>50637.32</v>
      </c>
    </row>
    <row r="20" spans="1:19" x14ac:dyDescent="0.3">
      <c r="A20" s="3" t="s">
        <v>116</v>
      </c>
      <c r="B20" s="2" t="s">
        <v>313</v>
      </c>
      <c r="C20" s="2" t="s">
        <v>416</v>
      </c>
      <c r="D20" s="2">
        <v>738846</v>
      </c>
      <c r="E20" s="2">
        <v>292428</v>
      </c>
      <c r="F20" s="2">
        <v>18110</v>
      </c>
      <c r="G20" s="2">
        <v>6259</v>
      </c>
      <c r="H20" s="2">
        <v>9055</v>
      </c>
      <c r="I20" s="2">
        <v>3622</v>
      </c>
      <c r="J20" s="2">
        <v>5433</v>
      </c>
      <c r="K20" s="2">
        <v>724</v>
      </c>
      <c r="L20" s="2">
        <v>200</v>
      </c>
      <c r="M20" s="2">
        <v>160</v>
      </c>
      <c r="N20" s="2">
        <v>11</v>
      </c>
      <c r="O20" s="2">
        <v>113.19</v>
      </c>
      <c r="P20" s="2">
        <v>226.38</v>
      </c>
      <c r="Q20" s="2">
        <v>2490.1799999999998</v>
      </c>
      <c r="R20" s="2">
        <v>28731.18</v>
      </c>
      <c r="S20" s="4">
        <v>34990.18</v>
      </c>
    </row>
    <row r="21" spans="1:19" x14ac:dyDescent="0.3">
      <c r="A21" s="3" t="s">
        <v>117</v>
      </c>
      <c r="B21" s="2" t="s">
        <v>314</v>
      </c>
      <c r="C21" s="2" t="s">
        <v>419</v>
      </c>
      <c r="D21" s="2">
        <v>738826</v>
      </c>
      <c r="E21" s="2">
        <v>388296</v>
      </c>
      <c r="F21" s="2">
        <v>22585</v>
      </c>
      <c r="G21" s="2">
        <v>9773</v>
      </c>
      <c r="H21" s="2">
        <v>11292</v>
      </c>
      <c r="I21" s="2">
        <v>4516</v>
      </c>
      <c r="J21" s="2">
        <v>6775</v>
      </c>
      <c r="K21" s="2">
        <v>903</v>
      </c>
      <c r="L21" s="2">
        <v>200</v>
      </c>
      <c r="M21" s="2">
        <v>160</v>
      </c>
      <c r="N21" s="2">
        <v>15</v>
      </c>
      <c r="O21" s="2">
        <v>141.16</v>
      </c>
      <c r="P21" s="2">
        <v>282.32</v>
      </c>
      <c r="Q21" s="2">
        <v>4234.8</v>
      </c>
      <c r="R21" s="2">
        <v>37007.800000000003</v>
      </c>
      <c r="S21" s="4">
        <v>46780.800000000003</v>
      </c>
    </row>
    <row r="22" spans="1:19" x14ac:dyDescent="0.3">
      <c r="A22" s="3" t="s">
        <v>118</v>
      </c>
      <c r="B22" s="2" t="s">
        <v>315</v>
      </c>
      <c r="C22" s="2" t="s">
        <v>415</v>
      </c>
      <c r="D22" s="2">
        <v>738345</v>
      </c>
      <c r="E22" s="2">
        <v>408756</v>
      </c>
      <c r="F22" s="2">
        <v>26167</v>
      </c>
      <c r="G22" s="2">
        <v>7896</v>
      </c>
      <c r="H22" s="2">
        <v>13083</v>
      </c>
      <c r="I22" s="2">
        <v>5233</v>
      </c>
      <c r="J22" s="2">
        <v>7850</v>
      </c>
      <c r="K22" s="2">
        <v>1046</v>
      </c>
      <c r="L22" s="2">
        <v>200</v>
      </c>
      <c r="M22" s="2">
        <v>160</v>
      </c>
      <c r="N22" s="2">
        <v>14</v>
      </c>
      <c r="O22" s="2">
        <v>163.54</v>
      </c>
      <c r="P22" s="2">
        <v>327.08</v>
      </c>
      <c r="Q22" s="2">
        <v>4579.12</v>
      </c>
      <c r="R22" s="2">
        <v>42583.12</v>
      </c>
      <c r="S22" s="4">
        <v>50479.12</v>
      </c>
    </row>
    <row r="23" spans="1:19" x14ac:dyDescent="0.3">
      <c r="A23" s="3" t="s">
        <v>119</v>
      </c>
      <c r="B23" s="2" t="s">
        <v>316</v>
      </c>
      <c r="C23" s="2" t="s">
        <v>415</v>
      </c>
      <c r="D23" s="2">
        <v>738326</v>
      </c>
      <c r="E23" s="2">
        <v>593232</v>
      </c>
      <c r="F23" s="2">
        <v>44764</v>
      </c>
      <c r="G23" s="2">
        <v>4672</v>
      </c>
      <c r="H23" s="2">
        <v>22382</v>
      </c>
      <c r="I23" s="2">
        <v>8952</v>
      </c>
      <c r="J23" s="2">
        <v>13429</v>
      </c>
      <c r="K23" s="2">
        <v>1790</v>
      </c>
      <c r="L23" s="2">
        <v>200</v>
      </c>
      <c r="M23" s="2">
        <v>160</v>
      </c>
      <c r="N23" s="2">
        <v>17</v>
      </c>
      <c r="O23" s="2">
        <v>279.77</v>
      </c>
      <c r="P23" s="2">
        <v>559.54</v>
      </c>
      <c r="Q23" s="2">
        <v>9512.18</v>
      </c>
      <c r="R23" s="2">
        <v>74667.179999999993</v>
      </c>
      <c r="S23" s="4">
        <v>79339.179999999993</v>
      </c>
    </row>
    <row r="24" spans="1:19" x14ac:dyDescent="0.3">
      <c r="A24" s="3" t="s">
        <v>120</v>
      </c>
      <c r="B24" s="2" t="s">
        <v>317</v>
      </c>
      <c r="C24" s="2" t="s">
        <v>416</v>
      </c>
      <c r="D24" s="2">
        <v>738271</v>
      </c>
      <c r="E24" s="2">
        <v>688500</v>
      </c>
      <c r="F24" s="2">
        <v>54333</v>
      </c>
      <c r="G24" s="2">
        <v>3042</v>
      </c>
      <c r="H24" s="2">
        <v>27166</v>
      </c>
      <c r="I24" s="2">
        <v>10866</v>
      </c>
      <c r="J24" s="2">
        <v>16299</v>
      </c>
      <c r="K24" s="2">
        <v>2173</v>
      </c>
      <c r="L24" s="2">
        <v>200</v>
      </c>
      <c r="M24" s="2">
        <v>160</v>
      </c>
      <c r="N24" s="2">
        <v>11</v>
      </c>
      <c r="O24" s="2">
        <v>339.58</v>
      </c>
      <c r="P24" s="2">
        <v>679.16</v>
      </c>
      <c r="Q24" s="2">
        <v>7470.76</v>
      </c>
      <c r="R24" s="2">
        <v>86595.76</v>
      </c>
      <c r="S24" s="4">
        <v>89637.759999999995</v>
      </c>
    </row>
    <row r="25" spans="1:19" x14ac:dyDescent="0.3">
      <c r="A25" s="3" t="s">
        <v>121</v>
      </c>
      <c r="B25" s="2" t="s">
        <v>318</v>
      </c>
      <c r="C25" s="2" t="s">
        <v>418</v>
      </c>
      <c r="D25" s="2">
        <v>738612</v>
      </c>
      <c r="E25" s="2">
        <v>437364</v>
      </c>
      <c r="F25" s="2">
        <v>29405</v>
      </c>
      <c r="G25" s="2">
        <v>7042</v>
      </c>
      <c r="H25" s="2">
        <v>14702</v>
      </c>
      <c r="I25" s="2">
        <v>5880</v>
      </c>
      <c r="J25" s="2">
        <v>8821</v>
      </c>
      <c r="K25" s="2">
        <v>1176</v>
      </c>
      <c r="L25" s="2">
        <v>200</v>
      </c>
      <c r="M25" s="2">
        <v>160</v>
      </c>
      <c r="N25" s="2">
        <v>14</v>
      </c>
      <c r="O25" s="2">
        <v>183.78</v>
      </c>
      <c r="P25" s="2">
        <v>367.56</v>
      </c>
      <c r="Q25" s="2">
        <v>5145.84</v>
      </c>
      <c r="R25" s="2">
        <v>47875.839999999997</v>
      </c>
      <c r="S25" s="4">
        <v>54917.84</v>
      </c>
    </row>
    <row r="26" spans="1:19" x14ac:dyDescent="0.3">
      <c r="A26" s="3" t="s">
        <v>122</v>
      </c>
      <c r="B26" s="2" t="s">
        <v>319</v>
      </c>
      <c r="C26" s="2" t="s">
        <v>418</v>
      </c>
      <c r="D26" s="2">
        <v>739304</v>
      </c>
      <c r="E26" s="2">
        <v>270180</v>
      </c>
      <c r="F26" s="2">
        <v>18026</v>
      </c>
      <c r="G26" s="2">
        <v>4489</v>
      </c>
      <c r="H26" s="2">
        <v>9013</v>
      </c>
      <c r="I26" s="2">
        <v>3605</v>
      </c>
      <c r="J26" s="2">
        <v>5407</v>
      </c>
      <c r="K26" s="2">
        <v>721</v>
      </c>
      <c r="L26" s="2">
        <v>200</v>
      </c>
      <c r="M26" s="2">
        <v>160</v>
      </c>
      <c r="N26" s="2">
        <v>14</v>
      </c>
      <c r="O26" s="2">
        <v>112.66</v>
      </c>
      <c r="P26" s="2">
        <v>225.32</v>
      </c>
      <c r="Q26" s="2">
        <v>3154.48</v>
      </c>
      <c r="R26" s="2">
        <v>29271.48</v>
      </c>
      <c r="S26" s="4">
        <v>33760.480000000003</v>
      </c>
    </row>
    <row r="27" spans="1:19" x14ac:dyDescent="0.3">
      <c r="A27" s="3" t="s">
        <v>123</v>
      </c>
      <c r="B27" s="2" t="s">
        <v>320</v>
      </c>
      <c r="C27" s="2" t="s">
        <v>414</v>
      </c>
      <c r="D27" s="2">
        <v>738820</v>
      </c>
      <c r="E27" s="2">
        <v>755736</v>
      </c>
      <c r="F27" s="2">
        <v>56009</v>
      </c>
      <c r="G27" s="2">
        <v>6969</v>
      </c>
      <c r="H27" s="2">
        <v>28004</v>
      </c>
      <c r="I27" s="2">
        <v>11201</v>
      </c>
      <c r="J27" s="2">
        <v>16802</v>
      </c>
      <c r="K27" s="2">
        <v>2240</v>
      </c>
      <c r="L27" s="2">
        <v>200</v>
      </c>
      <c r="M27" s="2">
        <v>160</v>
      </c>
      <c r="N27" s="2">
        <v>15</v>
      </c>
      <c r="O27" s="2">
        <v>350.06</v>
      </c>
      <c r="P27" s="2">
        <v>700.12</v>
      </c>
      <c r="Q27" s="2">
        <v>10501.8</v>
      </c>
      <c r="R27" s="2">
        <v>92073.8</v>
      </c>
      <c r="S27" s="4">
        <v>99042.8</v>
      </c>
    </row>
    <row r="28" spans="1:19" x14ac:dyDescent="0.3">
      <c r="A28" s="3" t="s">
        <v>124</v>
      </c>
      <c r="B28" s="2" t="s">
        <v>321</v>
      </c>
      <c r="C28" s="2" t="s">
        <v>418</v>
      </c>
      <c r="D28" s="2">
        <v>738869</v>
      </c>
      <c r="E28" s="2">
        <v>654132</v>
      </c>
      <c r="F28" s="2">
        <v>46977</v>
      </c>
      <c r="G28" s="2">
        <v>7534</v>
      </c>
      <c r="H28" s="2">
        <v>23488</v>
      </c>
      <c r="I28" s="2">
        <v>9395</v>
      </c>
      <c r="J28" s="2">
        <v>14093</v>
      </c>
      <c r="K28" s="2">
        <v>1879</v>
      </c>
      <c r="L28" s="2">
        <v>200</v>
      </c>
      <c r="M28" s="2">
        <v>160</v>
      </c>
      <c r="N28" s="2">
        <v>11</v>
      </c>
      <c r="O28" s="2">
        <v>293.61</v>
      </c>
      <c r="P28" s="2">
        <v>587.22</v>
      </c>
      <c r="Q28" s="2">
        <v>6459.42</v>
      </c>
      <c r="R28" s="2">
        <v>74845.42</v>
      </c>
      <c r="S28" s="4">
        <v>82379.42</v>
      </c>
    </row>
    <row r="29" spans="1:19" x14ac:dyDescent="0.3">
      <c r="A29" s="3" t="s">
        <v>125</v>
      </c>
      <c r="B29" s="2" t="s">
        <v>322</v>
      </c>
      <c r="C29" s="2" t="s">
        <v>415</v>
      </c>
      <c r="D29" s="2">
        <v>738998</v>
      </c>
      <c r="E29" s="2">
        <v>438204</v>
      </c>
      <c r="F29" s="2">
        <v>29120</v>
      </c>
      <c r="G29" s="2">
        <v>7397</v>
      </c>
      <c r="H29" s="2">
        <v>14560</v>
      </c>
      <c r="I29" s="2">
        <v>5824</v>
      </c>
      <c r="J29" s="2">
        <v>8736</v>
      </c>
      <c r="K29" s="2">
        <v>1164</v>
      </c>
      <c r="L29" s="2">
        <v>200</v>
      </c>
      <c r="M29" s="2">
        <v>160</v>
      </c>
      <c r="N29" s="2">
        <v>7</v>
      </c>
      <c r="O29" s="2">
        <v>182</v>
      </c>
      <c r="P29" s="2">
        <v>364</v>
      </c>
      <c r="Q29" s="2">
        <v>2548</v>
      </c>
      <c r="R29" s="2">
        <v>44864</v>
      </c>
      <c r="S29" s="4">
        <v>52261</v>
      </c>
    </row>
    <row r="30" spans="1:19" x14ac:dyDescent="0.3">
      <c r="A30" s="3" t="s">
        <v>126</v>
      </c>
      <c r="B30" s="2" t="s">
        <v>323</v>
      </c>
      <c r="C30" s="2" t="s">
        <v>419</v>
      </c>
      <c r="D30" s="2">
        <v>739171</v>
      </c>
      <c r="E30" s="2">
        <v>798624</v>
      </c>
      <c r="F30" s="2">
        <v>59480</v>
      </c>
      <c r="G30" s="2">
        <v>7072</v>
      </c>
      <c r="H30" s="2">
        <v>29740</v>
      </c>
      <c r="I30" s="2">
        <v>11896</v>
      </c>
      <c r="J30" s="2">
        <v>17844</v>
      </c>
      <c r="K30" s="2">
        <v>2379</v>
      </c>
      <c r="L30" s="2">
        <v>200</v>
      </c>
      <c r="M30" s="2">
        <v>160</v>
      </c>
      <c r="N30" s="2">
        <v>15</v>
      </c>
      <c r="O30" s="2">
        <v>371.75</v>
      </c>
      <c r="P30" s="2">
        <v>743.5</v>
      </c>
      <c r="Q30" s="2">
        <v>11152.5</v>
      </c>
      <c r="R30" s="2">
        <v>97793.5</v>
      </c>
      <c r="S30" s="4">
        <v>104865.5</v>
      </c>
    </row>
    <row r="31" spans="1:19" x14ac:dyDescent="0.3">
      <c r="A31" s="3" t="s">
        <v>127</v>
      </c>
      <c r="B31" s="2" t="s">
        <v>324</v>
      </c>
      <c r="C31" s="2" t="s">
        <v>413</v>
      </c>
      <c r="D31" s="2">
        <v>738022</v>
      </c>
      <c r="E31" s="2">
        <v>506196</v>
      </c>
      <c r="F31" s="2">
        <v>38343</v>
      </c>
      <c r="G31" s="2">
        <v>3840</v>
      </c>
      <c r="H31" s="2">
        <v>19171</v>
      </c>
      <c r="I31" s="2">
        <v>7668</v>
      </c>
      <c r="J31" s="2">
        <v>11502</v>
      </c>
      <c r="K31" s="2">
        <v>1533</v>
      </c>
      <c r="L31" s="2">
        <v>200</v>
      </c>
      <c r="M31" s="2">
        <v>160</v>
      </c>
      <c r="N31" s="2">
        <v>11</v>
      </c>
      <c r="O31" s="2">
        <v>239.64</v>
      </c>
      <c r="P31" s="2">
        <v>479.28</v>
      </c>
      <c r="Q31" s="2">
        <v>5272.08</v>
      </c>
      <c r="R31" s="2">
        <v>61052.08</v>
      </c>
      <c r="S31" s="4">
        <v>64892.08</v>
      </c>
    </row>
    <row r="32" spans="1:19" x14ac:dyDescent="0.3">
      <c r="A32" s="3" t="s">
        <v>128</v>
      </c>
      <c r="B32" s="2" t="s">
        <v>325</v>
      </c>
      <c r="C32" s="2" t="s">
        <v>414</v>
      </c>
      <c r="D32" s="2">
        <v>737160</v>
      </c>
      <c r="E32" s="2">
        <v>300396</v>
      </c>
      <c r="F32" s="2">
        <v>21028</v>
      </c>
      <c r="G32" s="2">
        <v>4005</v>
      </c>
      <c r="H32" s="2">
        <v>10514</v>
      </c>
      <c r="I32" s="2">
        <v>4205</v>
      </c>
      <c r="J32" s="2">
        <v>6308</v>
      </c>
      <c r="K32" s="2">
        <v>841</v>
      </c>
      <c r="L32" s="2">
        <v>200</v>
      </c>
      <c r="M32" s="2">
        <v>160</v>
      </c>
      <c r="N32" s="2">
        <v>20</v>
      </c>
      <c r="O32" s="2">
        <v>131.43</v>
      </c>
      <c r="P32" s="2">
        <v>262.86</v>
      </c>
      <c r="Q32" s="2">
        <v>5257.2</v>
      </c>
      <c r="R32" s="2">
        <v>35757.199999999997</v>
      </c>
      <c r="S32" s="4">
        <v>39762.199999999997</v>
      </c>
    </row>
    <row r="33" spans="1:19" x14ac:dyDescent="0.3">
      <c r="A33" s="3" t="s">
        <v>129</v>
      </c>
      <c r="B33" s="2" t="s">
        <v>326</v>
      </c>
      <c r="C33" s="2" t="s">
        <v>415</v>
      </c>
      <c r="D33" s="2">
        <v>737358</v>
      </c>
      <c r="E33" s="2">
        <v>638892</v>
      </c>
      <c r="F33" s="2">
        <v>47846</v>
      </c>
      <c r="G33" s="2">
        <v>5395</v>
      </c>
      <c r="H33" s="2">
        <v>23923</v>
      </c>
      <c r="I33" s="2">
        <v>9569</v>
      </c>
      <c r="J33" s="2">
        <v>14353</v>
      </c>
      <c r="K33" s="2">
        <v>1913</v>
      </c>
      <c r="L33" s="2">
        <v>200</v>
      </c>
      <c r="M33" s="2">
        <v>160</v>
      </c>
      <c r="N33" s="2">
        <v>11</v>
      </c>
      <c r="O33" s="2">
        <v>299.04000000000002</v>
      </c>
      <c r="P33" s="2">
        <v>598.08000000000004</v>
      </c>
      <c r="Q33" s="2">
        <v>6578.88</v>
      </c>
      <c r="R33" s="2">
        <v>76233.88</v>
      </c>
      <c r="S33" s="4">
        <v>81628.88</v>
      </c>
    </row>
    <row r="34" spans="1:19" x14ac:dyDescent="0.3">
      <c r="A34" s="3" t="s">
        <v>130</v>
      </c>
      <c r="B34" s="2" t="s">
        <v>327</v>
      </c>
      <c r="C34" s="2" t="s">
        <v>416</v>
      </c>
      <c r="D34" s="2">
        <v>738632</v>
      </c>
      <c r="E34" s="2">
        <v>668064</v>
      </c>
      <c r="F34" s="2">
        <v>50399</v>
      </c>
      <c r="G34" s="2">
        <v>5273</v>
      </c>
      <c r="H34" s="2">
        <v>25199</v>
      </c>
      <c r="I34" s="2">
        <v>10079</v>
      </c>
      <c r="J34" s="2">
        <v>15119</v>
      </c>
      <c r="K34" s="2">
        <v>2015</v>
      </c>
      <c r="L34" s="2">
        <v>200</v>
      </c>
      <c r="M34" s="2">
        <v>160</v>
      </c>
      <c r="N34" s="2">
        <v>12</v>
      </c>
      <c r="O34" s="2">
        <v>314.99</v>
      </c>
      <c r="P34" s="2">
        <v>629.98</v>
      </c>
      <c r="Q34" s="2">
        <v>7559.76</v>
      </c>
      <c r="R34" s="2">
        <v>80941.759999999995</v>
      </c>
      <c r="S34" s="4">
        <v>86214.76</v>
      </c>
    </row>
    <row r="35" spans="1:19" x14ac:dyDescent="0.3">
      <c r="A35" s="3" t="s">
        <v>131</v>
      </c>
      <c r="B35" s="2" t="s">
        <v>328</v>
      </c>
      <c r="C35" s="2" t="s">
        <v>414</v>
      </c>
      <c r="D35" s="2">
        <v>737082</v>
      </c>
      <c r="E35" s="2">
        <v>400332</v>
      </c>
      <c r="F35" s="2">
        <v>24985</v>
      </c>
      <c r="G35" s="2">
        <v>8376</v>
      </c>
      <c r="H35" s="2">
        <v>12492</v>
      </c>
      <c r="I35" s="2">
        <v>4996</v>
      </c>
      <c r="J35" s="2">
        <v>7495</v>
      </c>
      <c r="K35" s="2">
        <v>999</v>
      </c>
      <c r="L35" s="2">
        <v>200</v>
      </c>
      <c r="M35" s="2">
        <v>160</v>
      </c>
      <c r="N35" s="2">
        <v>18</v>
      </c>
      <c r="O35" s="2">
        <v>156.16</v>
      </c>
      <c r="P35" s="2">
        <v>312.32</v>
      </c>
      <c r="Q35" s="2">
        <v>5621.76</v>
      </c>
      <c r="R35" s="2">
        <v>41898.76</v>
      </c>
      <c r="S35" s="4">
        <v>50274.76</v>
      </c>
    </row>
    <row r="36" spans="1:19" x14ac:dyDescent="0.3">
      <c r="A36" s="3" t="s">
        <v>132</v>
      </c>
      <c r="B36" s="2" t="s">
        <v>329</v>
      </c>
      <c r="C36" s="2" t="s">
        <v>414</v>
      </c>
      <c r="D36" s="2">
        <v>737780</v>
      </c>
      <c r="E36" s="2">
        <v>692988</v>
      </c>
      <c r="F36" s="2">
        <v>51944</v>
      </c>
      <c r="G36" s="2">
        <v>5805</v>
      </c>
      <c r="H36" s="2">
        <v>25972</v>
      </c>
      <c r="I36" s="2">
        <v>10388</v>
      </c>
      <c r="J36" s="2">
        <v>15583</v>
      </c>
      <c r="K36" s="2">
        <v>2077</v>
      </c>
      <c r="L36" s="2">
        <v>200</v>
      </c>
      <c r="M36" s="2">
        <v>160</v>
      </c>
      <c r="N36" s="2">
        <v>6</v>
      </c>
      <c r="O36" s="2">
        <v>324.64999999999998</v>
      </c>
      <c r="P36" s="2">
        <v>649.29999999999995</v>
      </c>
      <c r="Q36" s="2">
        <v>3895.8</v>
      </c>
      <c r="R36" s="2">
        <v>79533.8</v>
      </c>
      <c r="S36" s="4">
        <v>85338.8</v>
      </c>
    </row>
    <row r="37" spans="1:19" x14ac:dyDescent="0.3">
      <c r="A37" s="3" t="s">
        <v>133</v>
      </c>
      <c r="B37" s="2" t="s">
        <v>330</v>
      </c>
      <c r="C37" s="2" t="s">
        <v>415</v>
      </c>
      <c r="D37" s="2">
        <v>738080</v>
      </c>
      <c r="E37" s="2">
        <v>380304</v>
      </c>
      <c r="F37" s="2">
        <v>25953</v>
      </c>
      <c r="G37" s="2">
        <v>5739</v>
      </c>
      <c r="H37" s="2">
        <v>12976</v>
      </c>
      <c r="I37" s="2">
        <v>5190</v>
      </c>
      <c r="J37" s="2">
        <v>7785</v>
      </c>
      <c r="K37" s="2">
        <v>1038</v>
      </c>
      <c r="L37" s="2">
        <v>200</v>
      </c>
      <c r="M37" s="2">
        <v>160</v>
      </c>
      <c r="N37" s="2">
        <v>9</v>
      </c>
      <c r="O37" s="2">
        <v>162.21</v>
      </c>
      <c r="P37" s="2">
        <v>324.42</v>
      </c>
      <c r="Q37" s="2">
        <v>2919.78</v>
      </c>
      <c r="R37" s="2">
        <v>40609.78</v>
      </c>
      <c r="S37" s="4">
        <v>46348.78</v>
      </c>
    </row>
    <row r="38" spans="1:19" x14ac:dyDescent="0.3">
      <c r="A38" s="3" t="s">
        <v>134</v>
      </c>
      <c r="B38" s="2" t="s">
        <v>331</v>
      </c>
      <c r="C38" s="2" t="s">
        <v>417</v>
      </c>
      <c r="D38" s="2">
        <v>738963</v>
      </c>
      <c r="E38" s="2">
        <v>712632</v>
      </c>
      <c r="F38" s="2">
        <v>52808</v>
      </c>
      <c r="G38" s="2">
        <v>6578</v>
      </c>
      <c r="H38" s="2">
        <v>26404</v>
      </c>
      <c r="I38" s="2">
        <v>10561</v>
      </c>
      <c r="J38" s="2">
        <v>15842</v>
      </c>
      <c r="K38" s="2">
        <v>2112</v>
      </c>
      <c r="L38" s="2">
        <v>200</v>
      </c>
      <c r="M38" s="2">
        <v>160</v>
      </c>
      <c r="N38" s="2">
        <v>15</v>
      </c>
      <c r="O38" s="2">
        <v>330.05</v>
      </c>
      <c r="P38" s="2">
        <v>660.1</v>
      </c>
      <c r="Q38" s="2">
        <v>9901.5</v>
      </c>
      <c r="R38" s="2">
        <v>86800.5</v>
      </c>
      <c r="S38" s="4">
        <v>93378.5</v>
      </c>
    </row>
    <row r="39" spans="1:19" x14ac:dyDescent="0.3">
      <c r="A39" s="3" t="s">
        <v>135</v>
      </c>
      <c r="B39" s="2" t="s">
        <v>332</v>
      </c>
      <c r="C39" s="2" t="s">
        <v>417</v>
      </c>
      <c r="D39" s="2">
        <v>738872</v>
      </c>
      <c r="E39" s="2">
        <v>801912</v>
      </c>
      <c r="F39" s="2">
        <v>58150</v>
      </c>
      <c r="G39" s="2">
        <v>8676</v>
      </c>
      <c r="H39" s="2">
        <v>29075</v>
      </c>
      <c r="I39" s="2">
        <v>11630</v>
      </c>
      <c r="J39" s="2">
        <v>17445</v>
      </c>
      <c r="K39" s="2">
        <v>2326</v>
      </c>
      <c r="L39" s="2">
        <v>200</v>
      </c>
      <c r="M39" s="2">
        <v>160</v>
      </c>
      <c r="N39" s="2">
        <v>18</v>
      </c>
      <c r="O39" s="2">
        <v>363.44</v>
      </c>
      <c r="P39" s="2">
        <v>726.88</v>
      </c>
      <c r="Q39" s="2">
        <v>13083.84</v>
      </c>
      <c r="R39" s="2">
        <v>97782.84</v>
      </c>
      <c r="S39" s="4">
        <v>106458.84</v>
      </c>
    </row>
    <row r="40" spans="1:19" x14ac:dyDescent="0.3">
      <c r="A40" s="3" t="s">
        <v>136</v>
      </c>
      <c r="B40" s="2" t="s">
        <v>333</v>
      </c>
      <c r="C40" s="2" t="s">
        <v>417</v>
      </c>
      <c r="D40" s="2">
        <v>739304</v>
      </c>
      <c r="E40" s="2">
        <v>678864</v>
      </c>
      <c r="F40" s="2">
        <v>47223</v>
      </c>
      <c r="G40" s="2">
        <v>9349</v>
      </c>
      <c r="H40" s="2">
        <v>23611</v>
      </c>
      <c r="I40" s="2">
        <v>9444</v>
      </c>
      <c r="J40" s="2">
        <v>14166</v>
      </c>
      <c r="K40" s="2">
        <v>1888</v>
      </c>
      <c r="L40" s="2">
        <v>200</v>
      </c>
      <c r="M40" s="2">
        <v>160</v>
      </c>
      <c r="N40" s="2">
        <v>10</v>
      </c>
      <c r="O40" s="2">
        <v>295.14</v>
      </c>
      <c r="P40" s="2">
        <v>590.28</v>
      </c>
      <c r="Q40" s="2">
        <v>5902.8</v>
      </c>
      <c r="R40" s="2">
        <v>74647.8</v>
      </c>
      <c r="S40" s="4">
        <v>83996.800000000003</v>
      </c>
    </row>
    <row r="41" spans="1:19" x14ac:dyDescent="0.3">
      <c r="A41" s="8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 t="s">
        <v>420</v>
      </c>
      <c r="S41" s="10">
        <f>MEDIAN(S1:S40)</f>
        <v>69939.399999999994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1D14F-F12E-48B7-BADF-6470BC8254E4}">
  <sheetPr codeName="Sheet4"/>
  <dimension ref="A1:S41"/>
  <sheetViews>
    <sheetView workbookViewId="0">
      <selection activeCell="A24" sqref="A24:S38"/>
    </sheetView>
  </sheetViews>
  <sheetFormatPr defaultRowHeight="14.4" x14ac:dyDescent="0.3"/>
  <cols>
    <col min="1" max="1" width="14" customWidth="1"/>
    <col min="2" max="2" width="17.21875" customWidth="1"/>
    <col min="3" max="3" width="13" customWidth="1"/>
    <col min="4" max="4" width="16.44140625" customWidth="1"/>
    <col min="5" max="5" width="13.109375" customWidth="1"/>
    <col min="6" max="6" width="21.5546875" customWidth="1"/>
    <col min="7" max="7" width="22.109375" customWidth="1"/>
    <col min="8" max="8" width="13.21875" customWidth="1"/>
    <col min="10" max="10" width="12.33203125" customWidth="1"/>
    <col min="11" max="11" width="14.5546875" customWidth="1"/>
    <col min="12" max="12" width="17" customWidth="1"/>
    <col min="13" max="13" width="20.44140625" customWidth="1"/>
    <col min="14" max="14" width="23.77734375" customWidth="1"/>
    <col min="15" max="15" width="18.88671875" customWidth="1"/>
    <col min="16" max="16" width="23.33203125" customWidth="1"/>
    <col min="17" max="17" width="15.33203125" customWidth="1"/>
    <col min="18" max="18" width="36.33203125" customWidth="1"/>
    <col min="19" max="19" width="36" customWidth="1"/>
  </cols>
  <sheetData>
    <row r="1" spans="1:19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7" t="s">
        <v>18</v>
      </c>
    </row>
    <row r="2" spans="1:19" x14ac:dyDescent="0.3">
      <c r="A2" s="3" t="s">
        <v>177</v>
      </c>
      <c r="B2" s="2" t="s">
        <v>374</v>
      </c>
      <c r="C2" s="2" t="s">
        <v>413</v>
      </c>
      <c r="D2" s="2">
        <v>739176</v>
      </c>
      <c r="E2" s="2">
        <v>398664</v>
      </c>
      <c r="F2" s="2">
        <v>30521</v>
      </c>
      <c r="G2" s="2">
        <v>2701</v>
      </c>
      <c r="H2" s="2">
        <v>15260</v>
      </c>
      <c r="I2" s="2">
        <v>6104</v>
      </c>
      <c r="J2" s="2">
        <v>9156</v>
      </c>
      <c r="K2" s="2">
        <v>1220</v>
      </c>
      <c r="L2" s="2">
        <v>200</v>
      </c>
      <c r="M2" s="2">
        <v>160</v>
      </c>
      <c r="N2" s="2">
        <v>12</v>
      </c>
      <c r="O2" s="2">
        <v>190.76</v>
      </c>
      <c r="P2" s="2">
        <v>381.52</v>
      </c>
      <c r="Q2" s="2">
        <v>4578.24</v>
      </c>
      <c r="R2" s="2">
        <v>48939.24</v>
      </c>
      <c r="S2" s="4">
        <v>51640.24</v>
      </c>
    </row>
    <row r="3" spans="1:19" x14ac:dyDescent="0.3">
      <c r="A3" s="3" t="s">
        <v>178</v>
      </c>
      <c r="B3" s="2" t="s">
        <v>375</v>
      </c>
      <c r="C3" s="2" t="s">
        <v>416</v>
      </c>
      <c r="D3" s="2">
        <v>738724</v>
      </c>
      <c r="E3" s="2">
        <v>678804</v>
      </c>
      <c r="F3" s="2">
        <v>50019</v>
      </c>
      <c r="G3" s="2">
        <v>6548</v>
      </c>
      <c r="H3" s="2">
        <v>25009</v>
      </c>
      <c r="I3" s="2">
        <v>10003</v>
      </c>
      <c r="J3" s="2">
        <v>15005</v>
      </c>
      <c r="K3" s="2">
        <v>2000</v>
      </c>
      <c r="L3" s="2">
        <v>200</v>
      </c>
      <c r="M3" s="2">
        <v>160</v>
      </c>
      <c r="N3" s="2">
        <v>12</v>
      </c>
      <c r="O3" s="2">
        <v>312.62</v>
      </c>
      <c r="P3" s="2">
        <v>625.24</v>
      </c>
      <c r="Q3" s="2">
        <v>7502.88</v>
      </c>
      <c r="R3" s="2">
        <v>80329.88</v>
      </c>
      <c r="S3" s="4">
        <v>86877.88</v>
      </c>
    </row>
    <row r="4" spans="1:19" x14ac:dyDescent="0.3">
      <c r="A4" s="3" t="s">
        <v>179</v>
      </c>
      <c r="B4" s="2" t="s">
        <v>376</v>
      </c>
      <c r="C4" s="2" t="s">
        <v>416</v>
      </c>
      <c r="D4" s="2">
        <v>739010</v>
      </c>
      <c r="E4" s="2">
        <v>670044</v>
      </c>
      <c r="F4" s="2">
        <v>50166</v>
      </c>
      <c r="G4" s="2">
        <v>5671</v>
      </c>
      <c r="H4" s="2">
        <v>25083</v>
      </c>
      <c r="I4" s="2">
        <v>10033</v>
      </c>
      <c r="J4" s="2">
        <v>15049</v>
      </c>
      <c r="K4" s="2">
        <v>2006</v>
      </c>
      <c r="L4" s="2">
        <v>200</v>
      </c>
      <c r="M4" s="2">
        <v>160</v>
      </c>
      <c r="N4" s="2">
        <v>5</v>
      </c>
      <c r="O4" s="2">
        <v>313.54000000000002</v>
      </c>
      <c r="P4" s="2">
        <v>627.08000000000004</v>
      </c>
      <c r="Q4" s="2">
        <v>3135.4</v>
      </c>
      <c r="R4" s="2">
        <v>76177.399999999994</v>
      </c>
      <c r="S4" s="4">
        <v>81848.399999999994</v>
      </c>
    </row>
    <row r="5" spans="1:19" x14ac:dyDescent="0.3">
      <c r="A5" s="3" t="s">
        <v>180</v>
      </c>
      <c r="B5" s="2" t="s">
        <v>377</v>
      </c>
      <c r="C5" s="2" t="s">
        <v>413</v>
      </c>
      <c r="D5" s="2">
        <v>738265</v>
      </c>
      <c r="E5" s="2">
        <v>454008</v>
      </c>
      <c r="F5" s="2">
        <v>32522</v>
      </c>
      <c r="G5" s="2">
        <v>5312</v>
      </c>
      <c r="H5" s="2">
        <v>16261</v>
      </c>
      <c r="I5" s="2">
        <v>6504</v>
      </c>
      <c r="J5" s="2">
        <v>9756</v>
      </c>
      <c r="K5" s="2">
        <v>1300</v>
      </c>
      <c r="L5" s="2">
        <v>200</v>
      </c>
      <c r="M5" s="2">
        <v>160</v>
      </c>
      <c r="N5" s="2">
        <v>12</v>
      </c>
      <c r="O5" s="2">
        <v>203.26</v>
      </c>
      <c r="P5" s="2">
        <v>406.52</v>
      </c>
      <c r="Q5" s="2">
        <v>4878.24</v>
      </c>
      <c r="R5" s="2">
        <v>52160.24</v>
      </c>
      <c r="S5" s="4">
        <v>57472.24</v>
      </c>
    </row>
    <row r="6" spans="1:19" x14ac:dyDescent="0.3">
      <c r="A6" s="3" t="s">
        <v>181</v>
      </c>
      <c r="B6" s="2" t="s">
        <v>378</v>
      </c>
      <c r="C6" s="2" t="s">
        <v>419</v>
      </c>
      <c r="D6" s="2">
        <v>739442</v>
      </c>
      <c r="E6" s="2">
        <v>576720</v>
      </c>
      <c r="F6" s="2">
        <v>42184</v>
      </c>
      <c r="G6" s="2">
        <v>5876</v>
      </c>
      <c r="H6" s="2">
        <v>21092</v>
      </c>
      <c r="I6" s="2">
        <v>8436</v>
      </c>
      <c r="J6" s="2">
        <v>12655</v>
      </c>
      <c r="K6" s="2">
        <v>1687</v>
      </c>
      <c r="L6" s="2">
        <v>200</v>
      </c>
      <c r="M6" s="2">
        <v>160</v>
      </c>
      <c r="N6" s="2">
        <v>16</v>
      </c>
      <c r="O6" s="2">
        <v>263.64999999999998</v>
      </c>
      <c r="P6" s="2">
        <v>527.29999999999995</v>
      </c>
      <c r="Q6" s="2">
        <v>8436.7999999999993</v>
      </c>
      <c r="R6" s="2">
        <v>69824.800000000003</v>
      </c>
      <c r="S6" s="4">
        <v>75700.800000000003</v>
      </c>
    </row>
    <row r="7" spans="1:19" x14ac:dyDescent="0.3">
      <c r="A7" s="3" t="s">
        <v>182</v>
      </c>
      <c r="B7" s="2" t="s">
        <v>379</v>
      </c>
      <c r="C7" s="2" t="s">
        <v>418</v>
      </c>
      <c r="D7" s="2">
        <v>739314</v>
      </c>
      <c r="E7" s="2">
        <v>534720</v>
      </c>
      <c r="F7" s="2">
        <v>39678</v>
      </c>
      <c r="G7" s="2">
        <v>4882</v>
      </c>
      <c r="H7" s="2">
        <v>19839</v>
      </c>
      <c r="I7" s="2">
        <v>7935</v>
      </c>
      <c r="J7" s="2">
        <v>11903</v>
      </c>
      <c r="K7" s="2">
        <v>1587</v>
      </c>
      <c r="L7" s="2">
        <v>200</v>
      </c>
      <c r="M7" s="2">
        <v>160</v>
      </c>
      <c r="N7" s="2">
        <v>19</v>
      </c>
      <c r="O7" s="2">
        <v>247.99</v>
      </c>
      <c r="P7" s="2">
        <v>495.98</v>
      </c>
      <c r="Q7" s="2">
        <v>9423.6200000000008</v>
      </c>
      <c r="R7" s="2">
        <v>67152.62</v>
      </c>
      <c r="S7" s="4">
        <v>72034.62</v>
      </c>
    </row>
    <row r="8" spans="1:19" x14ac:dyDescent="0.3">
      <c r="A8" s="3" t="s">
        <v>183</v>
      </c>
      <c r="B8" s="2" t="s">
        <v>380</v>
      </c>
      <c r="C8" s="2" t="s">
        <v>419</v>
      </c>
      <c r="D8" s="2">
        <v>738315</v>
      </c>
      <c r="E8" s="2">
        <v>460356</v>
      </c>
      <c r="F8" s="2">
        <v>34475</v>
      </c>
      <c r="G8" s="2">
        <v>3888</v>
      </c>
      <c r="H8" s="2">
        <v>17237</v>
      </c>
      <c r="I8" s="2">
        <v>6894</v>
      </c>
      <c r="J8" s="2">
        <v>10342</v>
      </c>
      <c r="K8" s="2">
        <v>1378</v>
      </c>
      <c r="L8" s="2">
        <v>200</v>
      </c>
      <c r="M8" s="2">
        <v>160</v>
      </c>
      <c r="N8" s="2">
        <v>8</v>
      </c>
      <c r="O8" s="2">
        <v>215.47</v>
      </c>
      <c r="P8" s="2">
        <v>430.94</v>
      </c>
      <c r="Q8" s="2">
        <v>3447.52</v>
      </c>
      <c r="R8" s="2">
        <v>53580.52</v>
      </c>
      <c r="S8" s="4">
        <v>57468.52</v>
      </c>
    </row>
    <row r="9" spans="1:19" x14ac:dyDescent="0.3">
      <c r="A9" s="3" t="s">
        <v>184</v>
      </c>
      <c r="B9" s="2" t="s">
        <v>381</v>
      </c>
      <c r="C9" s="2" t="s">
        <v>416</v>
      </c>
      <c r="D9" s="2">
        <v>737848</v>
      </c>
      <c r="E9" s="2">
        <v>499896</v>
      </c>
      <c r="F9" s="2">
        <v>38679</v>
      </c>
      <c r="G9" s="2">
        <v>2979</v>
      </c>
      <c r="H9" s="2">
        <v>19339</v>
      </c>
      <c r="I9" s="2">
        <v>7735</v>
      </c>
      <c r="J9" s="2">
        <v>11603</v>
      </c>
      <c r="K9" s="2">
        <v>1547</v>
      </c>
      <c r="L9" s="2">
        <v>200</v>
      </c>
      <c r="M9" s="2">
        <v>160</v>
      </c>
      <c r="N9" s="2">
        <v>10</v>
      </c>
      <c r="O9" s="2">
        <v>241.74</v>
      </c>
      <c r="P9" s="2">
        <v>483.48</v>
      </c>
      <c r="Q9" s="2">
        <v>4834.8</v>
      </c>
      <c r="R9" s="2">
        <v>61104.800000000003</v>
      </c>
      <c r="S9" s="4">
        <v>64083.8</v>
      </c>
    </row>
    <row r="10" spans="1:19" x14ac:dyDescent="0.3">
      <c r="A10" s="3" t="s">
        <v>185</v>
      </c>
      <c r="B10" s="2" t="s">
        <v>382</v>
      </c>
      <c r="C10" s="2" t="s">
        <v>414</v>
      </c>
      <c r="D10" s="2">
        <v>737946</v>
      </c>
      <c r="E10" s="2">
        <v>647964</v>
      </c>
      <c r="F10" s="2">
        <v>49732</v>
      </c>
      <c r="G10" s="2">
        <v>4265</v>
      </c>
      <c r="H10" s="2">
        <v>24866</v>
      </c>
      <c r="I10" s="2">
        <v>9946</v>
      </c>
      <c r="J10" s="2">
        <v>14919</v>
      </c>
      <c r="K10" s="2">
        <v>1989</v>
      </c>
      <c r="L10" s="2">
        <v>200</v>
      </c>
      <c r="M10" s="2">
        <v>160</v>
      </c>
      <c r="N10" s="2">
        <v>14</v>
      </c>
      <c r="O10" s="2">
        <v>310.82</v>
      </c>
      <c r="P10" s="2">
        <v>621.64</v>
      </c>
      <c r="Q10" s="2">
        <v>8702.9599999999991</v>
      </c>
      <c r="R10" s="2">
        <v>81110.959999999992</v>
      </c>
      <c r="S10" s="4">
        <v>85375.959999999992</v>
      </c>
    </row>
    <row r="11" spans="1:19" x14ac:dyDescent="0.3">
      <c r="A11" s="3" t="s">
        <v>186</v>
      </c>
      <c r="B11" s="2" t="s">
        <v>383</v>
      </c>
      <c r="C11" s="2" t="s">
        <v>413</v>
      </c>
      <c r="D11" s="2">
        <v>737855</v>
      </c>
      <c r="E11" s="2">
        <v>495324</v>
      </c>
      <c r="F11" s="2">
        <v>37414</v>
      </c>
      <c r="G11" s="2">
        <v>3863</v>
      </c>
      <c r="H11" s="2">
        <v>18707</v>
      </c>
      <c r="I11" s="2">
        <v>7482</v>
      </c>
      <c r="J11" s="2">
        <v>11224</v>
      </c>
      <c r="K11" s="2">
        <v>1496</v>
      </c>
      <c r="L11" s="2">
        <v>200</v>
      </c>
      <c r="M11" s="2">
        <v>160</v>
      </c>
      <c r="N11" s="2">
        <v>16</v>
      </c>
      <c r="O11" s="2">
        <v>233.84</v>
      </c>
      <c r="P11" s="2">
        <v>467.68</v>
      </c>
      <c r="Q11" s="2">
        <v>7482.88</v>
      </c>
      <c r="R11" s="2">
        <v>61906.879999999997</v>
      </c>
      <c r="S11" s="4">
        <v>65769.88</v>
      </c>
    </row>
    <row r="12" spans="1:19" x14ac:dyDescent="0.3">
      <c r="A12" s="3" t="s">
        <v>187</v>
      </c>
      <c r="B12" s="2" t="s">
        <v>384</v>
      </c>
      <c r="C12" s="2" t="s">
        <v>414</v>
      </c>
      <c r="D12" s="2">
        <v>738298</v>
      </c>
      <c r="E12" s="2">
        <v>320724</v>
      </c>
      <c r="F12" s="2">
        <v>18927</v>
      </c>
      <c r="G12" s="2">
        <v>7800</v>
      </c>
      <c r="H12" s="2">
        <v>9463</v>
      </c>
      <c r="I12" s="2">
        <v>3785</v>
      </c>
      <c r="J12" s="2">
        <v>5678</v>
      </c>
      <c r="K12" s="2">
        <v>757</v>
      </c>
      <c r="L12" s="2">
        <v>200</v>
      </c>
      <c r="M12" s="2">
        <v>160</v>
      </c>
      <c r="N12" s="2">
        <v>9</v>
      </c>
      <c r="O12" s="2">
        <v>118.29</v>
      </c>
      <c r="P12" s="2">
        <v>236.58</v>
      </c>
      <c r="Q12" s="2">
        <v>2129.2199999999998</v>
      </c>
      <c r="R12" s="2">
        <v>29562.22</v>
      </c>
      <c r="S12" s="4">
        <v>37362.22</v>
      </c>
    </row>
    <row r="13" spans="1:19" x14ac:dyDescent="0.3">
      <c r="A13" s="3" t="s">
        <v>188</v>
      </c>
      <c r="B13" s="2" t="s">
        <v>385</v>
      </c>
      <c r="C13" s="2" t="s">
        <v>419</v>
      </c>
      <c r="D13" s="2">
        <v>737246</v>
      </c>
      <c r="E13" s="2">
        <v>337272</v>
      </c>
      <c r="F13" s="2">
        <v>21573</v>
      </c>
      <c r="G13" s="2">
        <v>6533</v>
      </c>
      <c r="H13" s="2">
        <v>10786</v>
      </c>
      <c r="I13" s="2">
        <v>4314</v>
      </c>
      <c r="J13" s="2">
        <v>6471</v>
      </c>
      <c r="K13" s="2">
        <v>862</v>
      </c>
      <c r="L13" s="2">
        <v>200</v>
      </c>
      <c r="M13" s="2">
        <v>160</v>
      </c>
      <c r="N13" s="2">
        <v>14</v>
      </c>
      <c r="O13" s="2">
        <v>134.83000000000001</v>
      </c>
      <c r="P13" s="2">
        <v>269.66000000000003</v>
      </c>
      <c r="Q13" s="2">
        <v>3775.24</v>
      </c>
      <c r="R13" s="2">
        <v>35071.24</v>
      </c>
      <c r="S13" s="4">
        <v>41604.239999999998</v>
      </c>
    </row>
    <row r="14" spans="1:19" x14ac:dyDescent="0.3">
      <c r="A14" s="3" t="s">
        <v>189</v>
      </c>
      <c r="B14" s="2" t="s">
        <v>386</v>
      </c>
      <c r="C14" s="2" t="s">
        <v>416</v>
      </c>
      <c r="D14" s="2">
        <v>737577</v>
      </c>
      <c r="E14" s="2">
        <v>827004</v>
      </c>
      <c r="F14" s="2">
        <v>59803</v>
      </c>
      <c r="G14" s="2">
        <v>9114</v>
      </c>
      <c r="H14" s="2">
        <v>29901</v>
      </c>
      <c r="I14" s="2">
        <v>11960</v>
      </c>
      <c r="J14" s="2">
        <v>17940</v>
      </c>
      <c r="K14" s="2">
        <v>2392</v>
      </c>
      <c r="L14" s="2">
        <v>200</v>
      </c>
      <c r="M14" s="2">
        <v>160</v>
      </c>
      <c r="N14" s="2">
        <v>20</v>
      </c>
      <c r="O14" s="2">
        <v>373.77</v>
      </c>
      <c r="P14" s="2">
        <v>747.54</v>
      </c>
      <c r="Q14" s="2">
        <v>14950.8</v>
      </c>
      <c r="R14" s="2">
        <v>102061.8</v>
      </c>
      <c r="S14" s="4">
        <v>111175.8</v>
      </c>
    </row>
    <row r="15" spans="1:19" x14ac:dyDescent="0.3">
      <c r="A15" s="3" t="s">
        <v>190</v>
      </c>
      <c r="B15" s="2" t="s">
        <v>387</v>
      </c>
      <c r="C15" s="2" t="s">
        <v>413</v>
      </c>
      <c r="D15" s="2">
        <v>737110</v>
      </c>
      <c r="E15" s="2">
        <v>719400</v>
      </c>
      <c r="F15" s="2">
        <v>55621</v>
      </c>
      <c r="G15" s="2">
        <v>4329</v>
      </c>
      <c r="H15" s="2">
        <v>27810</v>
      </c>
      <c r="I15" s="2">
        <v>11124</v>
      </c>
      <c r="J15" s="2">
        <v>16686</v>
      </c>
      <c r="K15" s="2">
        <v>2224</v>
      </c>
      <c r="L15" s="2">
        <v>200</v>
      </c>
      <c r="M15" s="2">
        <v>160</v>
      </c>
      <c r="N15" s="2">
        <v>20</v>
      </c>
      <c r="O15" s="2">
        <v>347.63</v>
      </c>
      <c r="P15" s="2">
        <v>695.26</v>
      </c>
      <c r="Q15" s="2">
        <v>13905.2</v>
      </c>
      <c r="R15" s="2">
        <v>94912.2</v>
      </c>
      <c r="S15" s="4">
        <v>99241.2</v>
      </c>
    </row>
    <row r="16" spans="1:19" x14ac:dyDescent="0.3">
      <c r="A16" s="3" t="s">
        <v>191</v>
      </c>
      <c r="B16" s="2" t="s">
        <v>388</v>
      </c>
      <c r="C16" s="2" t="s">
        <v>418</v>
      </c>
      <c r="D16" s="2">
        <v>738864</v>
      </c>
      <c r="E16" s="2">
        <v>526056</v>
      </c>
      <c r="F16" s="2">
        <v>40328</v>
      </c>
      <c r="G16" s="2">
        <v>3510</v>
      </c>
      <c r="H16" s="2">
        <v>20164</v>
      </c>
      <c r="I16" s="2">
        <v>8065</v>
      </c>
      <c r="J16" s="2">
        <v>12098</v>
      </c>
      <c r="K16" s="2">
        <v>1613</v>
      </c>
      <c r="L16" s="2">
        <v>200</v>
      </c>
      <c r="M16" s="2">
        <v>160</v>
      </c>
      <c r="N16" s="2">
        <v>6</v>
      </c>
      <c r="O16" s="2">
        <v>252.05</v>
      </c>
      <c r="P16" s="2">
        <v>504.1</v>
      </c>
      <c r="Q16" s="2">
        <v>3024.6</v>
      </c>
      <c r="R16" s="2">
        <v>61702.6</v>
      </c>
      <c r="S16" s="4">
        <v>65212.6</v>
      </c>
    </row>
    <row r="17" spans="1:19" x14ac:dyDescent="0.3">
      <c r="A17" s="3" t="s">
        <v>192</v>
      </c>
      <c r="B17" s="2" t="s">
        <v>389</v>
      </c>
      <c r="C17" s="2" t="s">
        <v>419</v>
      </c>
      <c r="D17" s="2">
        <v>739016</v>
      </c>
      <c r="E17" s="2">
        <v>410520</v>
      </c>
      <c r="F17" s="2">
        <v>25476</v>
      </c>
      <c r="G17" s="2">
        <v>8734</v>
      </c>
      <c r="H17" s="2">
        <v>12738</v>
      </c>
      <c r="I17" s="2">
        <v>5095</v>
      </c>
      <c r="J17" s="2">
        <v>7642</v>
      </c>
      <c r="K17" s="2">
        <v>1019</v>
      </c>
      <c r="L17" s="2">
        <v>200</v>
      </c>
      <c r="M17" s="2">
        <v>160</v>
      </c>
      <c r="N17" s="2">
        <v>7</v>
      </c>
      <c r="O17" s="2">
        <v>159.22</v>
      </c>
      <c r="P17" s="2">
        <v>318.44</v>
      </c>
      <c r="Q17" s="2">
        <v>2229.08</v>
      </c>
      <c r="R17" s="2">
        <v>39223.08</v>
      </c>
      <c r="S17" s="4">
        <v>47957.08</v>
      </c>
    </row>
    <row r="18" spans="1:19" x14ac:dyDescent="0.3">
      <c r="A18" s="3" t="s">
        <v>193</v>
      </c>
      <c r="B18" s="2" t="s">
        <v>390</v>
      </c>
      <c r="C18" s="2" t="s">
        <v>418</v>
      </c>
      <c r="D18" s="2">
        <v>739074</v>
      </c>
      <c r="E18" s="2">
        <v>354972</v>
      </c>
      <c r="F18" s="2">
        <v>22855</v>
      </c>
      <c r="G18" s="2">
        <v>6726</v>
      </c>
      <c r="H18" s="2">
        <v>11427</v>
      </c>
      <c r="I18" s="2">
        <v>4570</v>
      </c>
      <c r="J18" s="2">
        <v>6856</v>
      </c>
      <c r="K18" s="2">
        <v>914</v>
      </c>
      <c r="L18" s="2">
        <v>200</v>
      </c>
      <c r="M18" s="2">
        <v>160</v>
      </c>
      <c r="N18" s="2">
        <v>6</v>
      </c>
      <c r="O18" s="2">
        <v>142.84</v>
      </c>
      <c r="P18" s="2">
        <v>285.68</v>
      </c>
      <c r="Q18" s="2">
        <v>1714.08</v>
      </c>
      <c r="R18" s="2">
        <v>34881.08</v>
      </c>
      <c r="S18" s="4">
        <v>41607.08</v>
      </c>
    </row>
    <row r="19" spans="1:19" x14ac:dyDescent="0.3">
      <c r="A19" s="3" t="s">
        <v>194</v>
      </c>
      <c r="B19" s="2" t="s">
        <v>391</v>
      </c>
      <c r="C19" s="2" t="s">
        <v>414</v>
      </c>
      <c r="D19" s="2">
        <v>737671</v>
      </c>
      <c r="E19" s="2">
        <v>775932</v>
      </c>
      <c r="F19" s="2">
        <v>54886</v>
      </c>
      <c r="G19" s="2">
        <v>9775</v>
      </c>
      <c r="H19" s="2">
        <v>27443</v>
      </c>
      <c r="I19" s="2">
        <v>10977</v>
      </c>
      <c r="J19" s="2">
        <v>16465</v>
      </c>
      <c r="K19" s="2">
        <v>2195</v>
      </c>
      <c r="L19" s="2">
        <v>200</v>
      </c>
      <c r="M19" s="2">
        <v>160</v>
      </c>
      <c r="N19" s="2">
        <v>14</v>
      </c>
      <c r="O19" s="2">
        <v>343.04</v>
      </c>
      <c r="P19" s="2">
        <v>686.08</v>
      </c>
      <c r="Q19" s="2">
        <v>9605.1200000000008</v>
      </c>
      <c r="R19" s="2">
        <v>89538.12</v>
      </c>
      <c r="S19" s="4">
        <v>99313.12</v>
      </c>
    </row>
    <row r="20" spans="1:19" x14ac:dyDescent="0.3">
      <c r="A20" s="3" t="s">
        <v>195</v>
      </c>
      <c r="B20" s="2" t="s">
        <v>392</v>
      </c>
      <c r="C20" s="2" t="s">
        <v>413</v>
      </c>
      <c r="D20" s="2">
        <v>738076</v>
      </c>
      <c r="E20" s="2">
        <v>387996</v>
      </c>
      <c r="F20" s="2">
        <v>25762</v>
      </c>
      <c r="G20" s="2">
        <v>6571</v>
      </c>
      <c r="H20" s="2">
        <v>12881</v>
      </c>
      <c r="I20" s="2">
        <v>5152</v>
      </c>
      <c r="J20" s="2">
        <v>7728</v>
      </c>
      <c r="K20" s="2">
        <v>1030</v>
      </c>
      <c r="L20" s="2">
        <v>200</v>
      </c>
      <c r="M20" s="2">
        <v>160</v>
      </c>
      <c r="N20" s="2">
        <v>18</v>
      </c>
      <c r="O20" s="2">
        <v>161.01</v>
      </c>
      <c r="P20" s="2">
        <v>322.02</v>
      </c>
      <c r="Q20" s="2">
        <v>5796.36</v>
      </c>
      <c r="R20" s="2">
        <v>43208.36</v>
      </c>
      <c r="S20" s="4">
        <v>49779.360000000001</v>
      </c>
    </row>
    <row r="21" spans="1:19" x14ac:dyDescent="0.3">
      <c r="A21" s="3" t="s">
        <v>196</v>
      </c>
      <c r="B21" s="2" t="s">
        <v>393</v>
      </c>
      <c r="C21" s="2" t="s">
        <v>415</v>
      </c>
      <c r="D21" s="2">
        <v>739501</v>
      </c>
      <c r="E21" s="2">
        <v>748512</v>
      </c>
      <c r="F21" s="2">
        <v>58528</v>
      </c>
      <c r="G21" s="2">
        <v>3848</v>
      </c>
      <c r="H21" s="2">
        <v>29264</v>
      </c>
      <c r="I21" s="2">
        <v>11705</v>
      </c>
      <c r="J21" s="2">
        <v>17558</v>
      </c>
      <c r="K21" s="2">
        <v>2341</v>
      </c>
      <c r="L21" s="2">
        <v>200</v>
      </c>
      <c r="M21" s="2">
        <v>160</v>
      </c>
      <c r="N21" s="2">
        <v>17</v>
      </c>
      <c r="O21" s="2">
        <v>365.8</v>
      </c>
      <c r="P21" s="2">
        <v>731.6</v>
      </c>
      <c r="Q21" s="2">
        <v>12437.2</v>
      </c>
      <c r="R21" s="2">
        <v>97687.2</v>
      </c>
      <c r="S21" s="4">
        <v>101535.2</v>
      </c>
    </row>
    <row r="22" spans="1:19" x14ac:dyDescent="0.3">
      <c r="A22" s="3" t="s">
        <v>197</v>
      </c>
      <c r="B22" s="2" t="s">
        <v>394</v>
      </c>
      <c r="C22" s="2" t="s">
        <v>418</v>
      </c>
      <c r="D22" s="2">
        <v>738873</v>
      </c>
      <c r="E22" s="2">
        <v>558396</v>
      </c>
      <c r="F22" s="2">
        <v>37487</v>
      </c>
      <c r="G22" s="2">
        <v>9046</v>
      </c>
      <c r="H22" s="2">
        <v>18743</v>
      </c>
      <c r="I22" s="2">
        <v>7497</v>
      </c>
      <c r="J22" s="2">
        <v>11246</v>
      </c>
      <c r="K22" s="2">
        <v>1499</v>
      </c>
      <c r="L22" s="2">
        <v>200</v>
      </c>
      <c r="M22" s="2">
        <v>160</v>
      </c>
      <c r="N22" s="2">
        <v>18</v>
      </c>
      <c r="O22" s="2">
        <v>234.29</v>
      </c>
      <c r="P22" s="2">
        <v>468.58</v>
      </c>
      <c r="Q22" s="2">
        <v>8434.44</v>
      </c>
      <c r="R22" s="2">
        <v>62965.440000000002</v>
      </c>
      <c r="S22" s="4">
        <v>72011.44</v>
      </c>
    </row>
    <row r="23" spans="1:19" x14ac:dyDescent="0.3">
      <c r="A23" s="3" t="s">
        <v>198</v>
      </c>
      <c r="B23" s="2" t="s">
        <v>395</v>
      </c>
      <c r="C23" s="2" t="s">
        <v>419</v>
      </c>
      <c r="D23" s="2">
        <v>739389</v>
      </c>
      <c r="E23" s="2">
        <v>734304</v>
      </c>
      <c r="F23" s="2">
        <v>58699</v>
      </c>
      <c r="G23" s="2">
        <v>2493</v>
      </c>
      <c r="H23" s="2">
        <v>29349</v>
      </c>
      <c r="I23" s="2">
        <v>11739</v>
      </c>
      <c r="J23" s="2">
        <v>17609</v>
      </c>
      <c r="K23" s="2">
        <v>2347</v>
      </c>
      <c r="L23" s="2">
        <v>200</v>
      </c>
      <c r="M23" s="2">
        <v>160</v>
      </c>
      <c r="N23" s="2">
        <v>8</v>
      </c>
      <c r="O23" s="2">
        <v>366.87</v>
      </c>
      <c r="P23" s="2">
        <v>733.74</v>
      </c>
      <c r="Q23" s="2">
        <v>5869.92</v>
      </c>
      <c r="R23" s="2">
        <v>91369.919999999998</v>
      </c>
      <c r="S23" s="4">
        <v>93862.92</v>
      </c>
    </row>
    <row r="24" spans="1:19" x14ac:dyDescent="0.3">
      <c r="A24" s="3" t="s">
        <v>199</v>
      </c>
      <c r="B24" s="2" t="s">
        <v>396</v>
      </c>
      <c r="C24" s="2" t="s">
        <v>417</v>
      </c>
      <c r="D24" s="2">
        <v>737911</v>
      </c>
      <c r="E24" s="2">
        <v>752652</v>
      </c>
      <c r="F24" s="2">
        <v>58993</v>
      </c>
      <c r="G24" s="2">
        <v>3728</v>
      </c>
      <c r="H24" s="2">
        <v>29496</v>
      </c>
      <c r="I24" s="2">
        <v>11798</v>
      </c>
      <c r="J24" s="2">
        <v>17697</v>
      </c>
      <c r="K24" s="2">
        <v>2359</v>
      </c>
      <c r="L24" s="2">
        <v>200</v>
      </c>
      <c r="M24" s="2">
        <v>160</v>
      </c>
      <c r="N24" s="2">
        <v>13</v>
      </c>
      <c r="O24" s="2">
        <v>368.71</v>
      </c>
      <c r="P24" s="2">
        <v>737.42</v>
      </c>
      <c r="Q24" s="2">
        <v>9586.4599999999991</v>
      </c>
      <c r="R24" s="2">
        <v>95515.459999999992</v>
      </c>
      <c r="S24" s="4">
        <v>99243.459999999992</v>
      </c>
    </row>
    <row r="25" spans="1:19" x14ac:dyDescent="0.3">
      <c r="A25" s="3" t="s">
        <v>200</v>
      </c>
      <c r="B25" s="2" t="s">
        <v>397</v>
      </c>
      <c r="C25" s="2" t="s">
        <v>416</v>
      </c>
      <c r="D25" s="2">
        <v>737392</v>
      </c>
      <c r="E25" s="2">
        <v>387072</v>
      </c>
      <c r="F25" s="2">
        <v>28292</v>
      </c>
      <c r="G25" s="2">
        <v>3964</v>
      </c>
      <c r="H25" s="2">
        <v>14146</v>
      </c>
      <c r="I25" s="2">
        <v>5658</v>
      </c>
      <c r="J25" s="2">
        <v>8487</v>
      </c>
      <c r="K25" s="2">
        <v>1131</v>
      </c>
      <c r="L25" s="2">
        <v>200</v>
      </c>
      <c r="M25" s="2">
        <v>160</v>
      </c>
      <c r="N25" s="2">
        <v>10</v>
      </c>
      <c r="O25" s="2">
        <v>176.82</v>
      </c>
      <c r="P25" s="2">
        <v>353.64</v>
      </c>
      <c r="Q25" s="2">
        <v>3536.4</v>
      </c>
      <c r="R25" s="2">
        <v>44642.400000000001</v>
      </c>
      <c r="S25" s="4">
        <v>48606.400000000001</v>
      </c>
    </row>
    <row r="26" spans="1:19" x14ac:dyDescent="0.3">
      <c r="A26" s="3" t="s">
        <v>201</v>
      </c>
      <c r="B26" s="2" t="s">
        <v>398</v>
      </c>
      <c r="C26" s="2" t="s">
        <v>415</v>
      </c>
      <c r="D26" s="2">
        <v>737367</v>
      </c>
      <c r="E26" s="2">
        <v>363348</v>
      </c>
      <c r="F26" s="2">
        <v>28258</v>
      </c>
      <c r="G26" s="2">
        <v>2021</v>
      </c>
      <c r="H26" s="2">
        <v>14129</v>
      </c>
      <c r="I26" s="2">
        <v>5651</v>
      </c>
      <c r="J26" s="2">
        <v>8477</v>
      </c>
      <c r="K26" s="2">
        <v>1130</v>
      </c>
      <c r="L26" s="2">
        <v>200</v>
      </c>
      <c r="M26" s="2">
        <v>160</v>
      </c>
      <c r="N26" s="2">
        <v>18</v>
      </c>
      <c r="O26" s="2">
        <v>176.61</v>
      </c>
      <c r="P26" s="2">
        <v>353.22</v>
      </c>
      <c r="Q26" s="2">
        <v>6357.96</v>
      </c>
      <c r="R26" s="2">
        <v>47413.96</v>
      </c>
      <c r="S26" s="4">
        <v>49434.96</v>
      </c>
    </row>
    <row r="27" spans="1:19" x14ac:dyDescent="0.3">
      <c r="A27" s="3" t="s">
        <v>202</v>
      </c>
      <c r="B27" s="2" t="s">
        <v>399</v>
      </c>
      <c r="C27" s="2" t="s">
        <v>418</v>
      </c>
      <c r="D27" s="2">
        <v>739492</v>
      </c>
      <c r="E27" s="2">
        <v>638172</v>
      </c>
      <c r="F27" s="2">
        <v>48796</v>
      </c>
      <c r="G27" s="2">
        <v>4385</v>
      </c>
      <c r="H27" s="2">
        <v>24398</v>
      </c>
      <c r="I27" s="2">
        <v>9759</v>
      </c>
      <c r="J27" s="2">
        <v>14638</v>
      </c>
      <c r="K27" s="2">
        <v>1951</v>
      </c>
      <c r="L27" s="2">
        <v>200</v>
      </c>
      <c r="M27" s="2">
        <v>160</v>
      </c>
      <c r="N27" s="2">
        <v>6</v>
      </c>
      <c r="O27" s="2">
        <v>304.98</v>
      </c>
      <c r="P27" s="2">
        <v>609.96</v>
      </c>
      <c r="Q27" s="2">
        <v>3659.76</v>
      </c>
      <c r="R27" s="2">
        <v>74701.759999999995</v>
      </c>
      <c r="S27" s="4">
        <v>79086.759999999995</v>
      </c>
    </row>
    <row r="28" spans="1:19" x14ac:dyDescent="0.3">
      <c r="A28" s="3" t="s">
        <v>203</v>
      </c>
      <c r="B28" s="2" t="s">
        <v>400</v>
      </c>
      <c r="C28" s="2" t="s">
        <v>414</v>
      </c>
      <c r="D28" s="2">
        <v>738240</v>
      </c>
      <c r="E28" s="2">
        <v>531432</v>
      </c>
      <c r="F28" s="2">
        <v>36528</v>
      </c>
      <c r="G28" s="2">
        <v>7758</v>
      </c>
      <c r="H28" s="2">
        <v>18264</v>
      </c>
      <c r="I28" s="2">
        <v>7305</v>
      </c>
      <c r="J28" s="2">
        <v>10958</v>
      </c>
      <c r="K28" s="2">
        <v>1461</v>
      </c>
      <c r="L28" s="2">
        <v>200</v>
      </c>
      <c r="M28" s="2">
        <v>160</v>
      </c>
      <c r="N28" s="2">
        <v>19</v>
      </c>
      <c r="O28" s="2">
        <v>228.3</v>
      </c>
      <c r="P28" s="2">
        <v>456.6</v>
      </c>
      <c r="Q28" s="2">
        <v>8675.4</v>
      </c>
      <c r="R28" s="2">
        <v>61805.4</v>
      </c>
      <c r="S28" s="4">
        <v>69563.399999999994</v>
      </c>
    </row>
    <row r="29" spans="1:19" x14ac:dyDescent="0.3">
      <c r="A29" s="3" t="s">
        <v>204</v>
      </c>
      <c r="B29" s="2" t="s">
        <v>401</v>
      </c>
      <c r="C29" s="2" t="s">
        <v>413</v>
      </c>
      <c r="D29" s="2">
        <v>738016</v>
      </c>
      <c r="E29" s="2">
        <v>525480</v>
      </c>
      <c r="F29" s="2">
        <v>35337</v>
      </c>
      <c r="G29" s="2">
        <v>8453</v>
      </c>
      <c r="H29" s="2">
        <v>17668</v>
      </c>
      <c r="I29" s="2">
        <v>7067</v>
      </c>
      <c r="J29" s="2">
        <v>10601</v>
      </c>
      <c r="K29" s="2">
        <v>1413</v>
      </c>
      <c r="L29" s="2">
        <v>200</v>
      </c>
      <c r="M29" s="2">
        <v>160</v>
      </c>
      <c r="N29" s="2">
        <v>11</v>
      </c>
      <c r="O29" s="2">
        <v>220.86</v>
      </c>
      <c r="P29" s="2">
        <v>441.72</v>
      </c>
      <c r="Q29" s="2">
        <v>4858.92</v>
      </c>
      <c r="R29" s="2">
        <v>56250.92</v>
      </c>
      <c r="S29" s="4">
        <v>64703.92</v>
      </c>
    </row>
    <row r="30" spans="1:19" x14ac:dyDescent="0.3">
      <c r="A30" s="3" t="s">
        <v>205</v>
      </c>
      <c r="B30" s="2" t="s">
        <v>402</v>
      </c>
      <c r="C30" s="2" t="s">
        <v>418</v>
      </c>
      <c r="D30" s="2">
        <v>737530</v>
      </c>
      <c r="E30" s="2">
        <v>690348</v>
      </c>
      <c r="F30" s="2">
        <v>53688</v>
      </c>
      <c r="G30" s="2">
        <v>3841</v>
      </c>
      <c r="H30" s="2">
        <v>26844</v>
      </c>
      <c r="I30" s="2">
        <v>10737</v>
      </c>
      <c r="J30" s="2">
        <v>16106</v>
      </c>
      <c r="K30" s="2">
        <v>2147</v>
      </c>
      <c r="L30" s="2">
        <v>200</v>
      </c>
      <c r="M30" s="2">
        <v>160</v>
      </c>
      <c r="N30" s="2">
        <v>9</v>
      </c>
      <c r="O30" s="2">
        <v>335.55</v>
      </c>
      <c r="P30" s="2">
        <v>671.1</v>
      </c>
      <c r="Q30" s="2">
        <v>6039.9</v>
      </c>
      <c r="R30" s="2">
        <v>84223.9</v>
      </c>
      <c r="S30" s="4">
        <v>88064.9</v>
      </c>
    </row>
    <row r="31" spans="1:19" x14ac:dyDescent="0.3">
      <c r="A31" s="3" t="s">
        <v>206</v>
      </c>
      <c r="B31" s="2" t="s">
        <v>403</v>
      </c>
      <c r="C31" s="2" t="s">
        <v>419</v>
      </c>
      <c r="D31" s="2">
        <v>737642</v>
      </c>
      <c r="E31" s="2">
        <v>302004</v>
      </c>
      <c r="F31" s="2">
        <v>22679</v>
      </c>
      <c r="G31" s="2">
        <v>2488</v>
      </c>
      <c r="H31" s="2">
        <v>11339</v>
      </c>
      <c r="I31" s="2">
        <v>4535</v>
      </c>
      <c r="J31" s="2">
        <v>6803</v>
      </c>
      <c r="K31" s="2">
        <v>907</v>
      </c>
      <c r="L31" s="2">
        <v>200</v>
      </c>
      <c r="M31" s="2">
        <v>160</v>
      </c>
      <c r="N31" s="2">
        <v>10</v>
      </c>
      <c r="O31" s="2">
        <v>141.74</v>
      </c>
      <c r="P31" s="2">
        <v>283.48</v>
      </c>
      <c r="Q31" s="2">
        <v>2834.8</v>
      </c>
      <c r="R31" s="2">
        <v>35744.800000000003</v>
      </c>
      <c r="S31" s="4">
        <v>38232.800000000003</v>
      </c>
    </row>
    <row r="32" spans="1:19" x14ac:dyDescent="0.3">
      <c r="A32" s="3" t="s">
        <v>207</v>
      </c>
      <c r="B32" s="2" t="s">
        <v>404</v>
      </c>
      <c r="C32" s="2" t="s">
        <v>417</v>
      </c>
      <c r="D32" s="2">
        <v>738319</v>
      </c>
      <c r="E32" s="2">
        <v>781572</v>
      </c>
      <c r="F32" s="2">
        <v>56996</v>
      </c>
      <c r="G32" s="2">
        <v>8135</v>
      </c>
      <c r="H32" s="2">
        <v>28498</v>
      </c>
      <c r="I32" s="2">
        <v>11399</v>
      </c>
      <c r="J32" s="2">
        <v>17098</v>
      </c>
      <c r="K32" s="2">
        <v>2279</v>
      </c>
      <c r="L32" s="2">
        <v>200</v>
      </c>
      <c r="M32" s="2">
        <v>160</v>
      </c>
      <c r="N32" s="2">
        <v>14</v>
      </c>
      <c r="O32" s="2">
        <v>356.23</v>
      </c>
      <c r="P32" s="2">
        <v>712.46</v>
      </c>
      <c r="Q32" s="2">
        <v>9974.44</v>
      </c>
      <c r="R32" s="2">
        <v>92988.44</v>
      </c>
      <c r="S32" s="4">
        <v>101123.44</v>
      </c>
    </row>
    <row r="33" spans="1:19" x14ac:dyDescent="0.3">
      <c r="A33" s="3" t="s">
        <v>208</v>
      </c>
      <c r="B33" s="2" t="s">
        <v>405</v>
      </c>
      <c r="C33" s="2" t="s">
        <v>418</v>
      </c>
      <c r="D33" s="2">
        <v>737569</v>
      </c>
      <c r="E33" s="2">
        <v>676284</v>
      </c>
      <c r="F33" s="2">
        <v>48716</v>
      </c>
      <c r="G33" s="2">
        <v>7641</v>
      </c>
      <c r="H33" s="2">
        <v>24358</v>
      </c>
      <c r="I33" s="2">
        <v>9743</v>
      </c>
      <c r="J33" s="2">
        <v>14614</v>
      </c>
      <c r="K33" s="2">
        <v>1948</v>
      </c>
      <c r="L33" s="2">
        <v>200</v>
      </c>
      <c r="M33" s="2">
        <v>160</v>
      </c>
      <c r="N33" s="2">
        <v>14</v>
      </c>
      <c r="O33" s="2">
        <v>304.48</v>
      </c>
      <c r="P33" s="2">
        <v>608.96</v>
      </c>
      <c r="Q33" s="2">
        <v>8525.44</v>
      </c>
      <c r="R33" s="2">
        <v>79450.44</v>
      </c>
      <c r="S33" s="4">
        <v>87091.44</v>
      </c>
    </row>
    <row r="34" spans="1:19" x14ac:dyDescent="0.3">
      <c r="A34" s="3" t="s">
        <v>209</v>
      </c>
      <c r="B34" s="2" t="s">
        <v>406</v>
      </c>
      <c r="C34" s="2" t="s">
        <v>416</v>
      </c>
      <c r="D34" s="2">
        <v>738708</v>
      </c>
      <c r="E34" s="2">
        <v>503280</v>
      </c>
      <c r="F34" s="2">
        <v>35841</v>
      </c>
      <c r="G34" s="2">
        <v>6099</v>
      </c>
      <c r="H34" s="2">
        <v>17920</v>
      </c>
      <c r="I34" s="2">
        <v>7168</v>
      </c>
      <c r="J34" s="2">
        <v>10752</v>
      </c>
      <c r="K34" s="2">
        <v>1433</v>
      </c>
      <c r="L34" s="2">
        <v>200</v>
      </c>
      <c r="M34" s="2">
        <v>160</v>
      </c>
      <c r="N34" s="2">
        <v>20</v>
      </c>
      <c r="O34" s="2">
        <v>224.01</v>
      </c>
      <c r="P34" s="2">
        <v>448.02</v>
      </c>
      <c r="Q34" s="2">
        <v>8960.4</v>
      </c>
      <c r="R34" s="2">
        <v>61088.4</v>
      </c>
      <c r="S34" s="4">
        <v>67187.399999999994</v>
      </c>
    </row>
    <row r="35" spans="1:19" x14ac:dyDescent="0.3">
      <c r="A35" s="3" t="s">
        <v>210</v>
      </c>
      <c r="B35" s="2" t="s">
        <v>407</v>
      </c>
      <c r="C35" s="2" t="s">
        <v>418</v>
      </c>
      <c r="D35" s="2">
        <v>737389</v>
      </c>
      <c r="E35" s="2">
        <v>714216</v>
      </c>
      <c r="F35" s="2">
        <v>57192</v>
      </c>
      <c r="G35" s="2">
        <v>2326</v>
      </c>
      <c r="H35" s="2">
        <v>28596</v>
      </c>
      <c r="I35" s="2">
        <v>11438</v>
      </c>
      <c r="J35" s="2">
        <v>17157</v>
      </c>
      <c r="K35" s="2">
        <v>2287</v>
      </c>
      <c r="L35" s="2">
        <v>200</v>
      </c>
      <c r="M35" s="2">
        <v>160</v>
      </c>
      <c r="N35" s="2">
        <v>18</v>
      </c>
      <c r="O35" s="2">
        <v>357.45</v>
      </c>
      <c r="P35" s="2">
        <v>714.9</v>
      </c>
      <c r="Q35" s="2">
        <v>12868.2</v>
      </c>
      <c r="R35" s="2">
        <v>96168.2</v>
      </c>
      <c r="S35" s="4">
        <v>98494.2</v>
      </c>
    </row>
    <row r="36" spans="1:19" x14ac:dyDescent="0.3">
      <c r="A36" s="3" t="s">
        <v>211</v>
      </c>
      <c r="B36" s="2" t="s">
        <v>408</v>
      </c>
      <c r="C36" s="2" t="s">
        <v>416</v>
      </c>
      <c r="D36" s="2">
        <v>738380</v>
      </c>
      <c r="E36" s="2">
        <v>739380</v>
      </c>
      <c r="F36" s="2">
        <v>57564</v>
      </c>
      <c r="G36" s="2">
        <v>4051</v>
      </c>
      <c r="H36" s="2">
        <v>28782</v>
      </c>
      <c r="I36" s="2">
        <v>11512</v>
      </c>
      <c r="J36" s="2">
        <v>17269</v>
      </c>
      <c r="K36" s="2">
        <v>2302</v>
      </c>
      <c r="L36" s="2">
        <v>200</v>
      </c>
      <c r="M36" s="2">
        <v>160</v>
      </c>
      <c r="N36" s="2">
        <v>5</v>
      </c>
      <c r="O36" s="2">
        <v>359.77</v>
      </c>
      <c r="P36" s="2">
        <v>719.54</v>
      </c>
      <c r="Q36" s="2">
        <v>3597.7</v>
      </c>
      <c r="R36" s="2">
        <v>87440.7</v>
      </c>
      <c r="S36" s="4">
        <v>91491.7</v>
      </c>
    </row>
    <row r="37" spans="1:19" x14ac:dyDescent="0.3">
      <c r="A37" s="3" t="s">
        <v>212</v>
      </c>
      <c r="B37" s="2" t="s">
        <v>409</v>
      </c>
      <c r="C37" s="2" t="s">
        <v>413</v>
      </c>
      <c r="D37" s="2">
        <v>737997</v>
      </c>
      <c r="E37" s="2">
        <v>750060</v>
      </c>
      <c r="F37" s="2">
        <v>55696</v>
      </c>
      <c r="G37" s="2">
        <v>6809</v>
      </c>
      <c r="H37" s="2">
        <v>27848</v>
      </c>
      <c r="I37" s="2">
        <v>11139</v>
      </c>
      <c r="J37" s="2">
        <v>16708</v>
      </c>
      <c r="K37" s="2">
        <v>2227</v>
      </c>
      <c r="L37" s="2">
        <v>200</v>
      </c>
      <c r="M37" s="2">
        <v>160</v>
      </c>
      <c r="N37" s="2">
        <v>5</v>
      </c>
      <c r="O37" s="2">
        <v>348.1</v>
      </c>
      <c r="P37" s="2">
        <v>696.2</v>
      </c>
      <c r="Q37" s="2">
        <v>3481</v>
      </c>
      <c r="R37" s="2">
        <v>84597</v>
      </c>
      <c r="S37" s="4">
        <v>91406</v>
      </c>
    </row>
    <row r="38" spans="1:19" x14ac:dyDescent="0.3">
      <c r="A38" s="3" t="s">
        <v>213</v>
      </c>
      <c r="B38" s="2" t="s">
        <v>410</v>
      </c>
      <c r="C38" s="2" t="s">
        <v>417</v>
      </c>
      <c r="D38" s="2">
        <v>738163</v>
      </c>
      <c r="E38" s="2">
        <v>697116</v>
      </c>
      <c r="F38" s="2">
        <v>55764</v>
      </c>
      <c r="G38" s="2">
        <v>2329</v>
      </c>
      <c r="H38" s="2">
        <v>27882</v>
      </c>
      <c r="I38" s="2">
        <v>11152</v>
      </c>
      <c r="J38" s="2">
        <v>16729</v>
      </c>
      <c r="K38" s="2">
        <v>2230</v>
      </c>
      <c r="L38" s="2">
        <v>200</v>
      </c>
      <c r="M38" s="2">
        <v>160</v>
      </c>
      <c r="N38" s="2">
        <v>10</v>
      </c>
      <c r="O38" s="2">
        <v>348.52</v>
      </c>
      <c r="P38" s="2">
        <v>697.04</v>
      </c>
      <c r="Q38" s="2">
        <v>6970.4</v>
      </c>
      <c r="R38" s="2">
        <v>88185.4</v>
      </c>
      <c r="S38" s="4">
        <v>90514.4</v>
      </c>
    </row>
    <row r="39" spans="1:19" x14ac:dyDescent="0.3">
      <c r="A39" s="3" t="s">
        <v>214</v>
      </c>
      <c r="B39" s="2" t="s">
        <v>411</v>
      </c>
      <c r="C39" s="2" t="s">
        <v>418</v>
      </c>
      <c r="D39" s="2">
        <v>739185</v>
      </c>
      <c r="E39" s="2">
        <v>677820</v>
      </c>
      <c r="F39" s="2">
        <v>46981</v>
      </c>
      <c r="G39" s="2">
        <v>9504</v>
      </c>
      <c r="H39" s="2">
        <v>23490</v>
      </c>
      <c r="I39" s="2">
        <v>9396</v>
      </c>
      <c r="J39" s="2">
        <v>14094</v>
      </c>
      <c r="K39" s="2">
        <v>1879</v>
      </c>
      <c r="L39" s="2">
        <v>200</v>
      </c>
      <c r="M39" s="2">
        <v>160</v>
      </c>
      <c r="N39" s="2">
        <v>13</v>
      </c>
      <c r="O39" s="2">
        <v>293.63</v>
      </c>
      <c r="P39" s="2">
        <v>587.26</v>
      </c>
      <c r="Q39" s="2">
        <v>7634.38</v>
      </c>
      <c r="R39" s="2">
        <v>76026.38</v>
      </c>
      <c r="S39" s="4">
        <v>85530.38</v>
      </c>
    </row>
    <row r="40" spans="1:19" x14ac:dyDescent="0.3">
      <c r="A40" s="3" t="s">
        <v>215</v>
      </c>
      <c r="B40" s="2" t="s">
        <v>412</v>
      </c>
      <c r="C40" s="2" t="s">
        <v>414</v>
      </c>
      <c r="D40" s="2">
        <v>739457</v>
      </c>
      <c r="E40" s="2">
        <v>645192</v>
      </c>
      <c r="F40" s="2">
        <v>46566</v>
      </c>
      <c r="G40" s="2">
        <v>7200</v>
      </c>
      <c r="H40" s="2">
        <v>23283</v>
      </c>
      <c r="I40" s="2">
        <v>9313</v>
      </c>
      <c r="J40" s="2">
        <v>13969</v>
      </c>
      <c r="K40" s="2">
        <v>1862</v>
      </c>
      <c r="L40" s="2">
        <v>200</v>
      </c>
      <c r="M40" s="2">
        <v>160</v>
      </c>
      <c r="N40" s="2">
        <v>20</v>
      </c>
      <c r="O40" s="2">
        <v>291.04000000000002</v>
      </c>
      <c r="P40" s="2">
        <v>582.08000000000004</v>
      </c>
      <c r="Q40" s="2">
        <v>11641.6</v>
      </c>
      <c r="R40" s="2">
        <v>79427.600000000006</v>
      </c>
      <c r="S40" s="4">
        <v>86627.6</v>
      </c>
    </row>
    <row r="41" spans="1:19" x14ac:dyDescent="0.3">
      <c r="A41" s="8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 t="s">
        <v>420</v>
      </c>
      <c r="S41" s="10">
        <f>MEDIAN(S1:S40)</f>
        <v>75700.800000000003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02414-1D0B-4F6A-889E-BE76A19AC03E}">
  <sheetPr codeName="Sheet5"/>
  <dimension ref="A1:S42"/>
  <sheetViews>
    <sheetView topLeftCell="A37" workbookViewId="0">
      <selection activeCell="A2" sqref="A2:S42"/>
    </sheetView>
  </sheetViews>
  <sheetFormatPr defaultRowHeight="14.4" x14ac:dyDescent="0.3"/>
  <cols>
    <col min="1" max="1" width="14" customWidth="1"/>
    <col min="2" max="2" width="17.21875" customWidth="1"/>
    <col min="3" max="3" width="13" customWidth="1"/>
    <col min="4" max="4" width="16.44140625" customWidth="1"/>
    <col min="5" max="5" width="13.109375" customWidth="1"/>
    <col min="6" max="6" width="21.5546875" customWidth="1"/>
    <col min="7" max="7" width="22.109375" customWidth="1"/>
    <col min="8" max="8" width="13.21875" customWidth="1"/>
    <col min="10" max="10" width="12.33203125" customWidth="1"/>
    <col min="11" max="11" width="14.5546875" customWidth="1"/>
    <col min="12" max="12" width="17" customWidth="1"/>
    <col min="13" max="13" width="20.44140625" customWidth="1"/>
    <col min="14" max="14" width="23.77734375" customWidth="1"/>
    <col min="15" max="15" width="18.88671875" customWidth="1"/>
    <col min="16" max="16" width="23.33203125" customWidth="1"/>
    <col min="17" max="17" width="15.33203125" customWidth="1"/>
    <col min="18" max="18" width="36.33203125" customWidth="1"/>
    <col min="19" max="19" width="36" customWidth="1"/>
  </cols>
  <sheetData>
    <row r="1" spans="1:19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7" t="s">
        <v>18</v>
      </c>
    </row>
    <row r="2" spans="1:19" x14ac:dyDescent="0.3">
      <c r="A2" s="3" t="s">
        <v>137</v>
      </c>
      <c r="B2" s="2" t="s">
        <v>334</v>
      </c>
      <c r="C2" s="2" t="s">
        <v>417</v>
      </c>
      <c r="D2" s="2">
        <v>739004</v>
      </c>
      <c r="E2" s="2">
        <v>619416</v>
      </c>
      <c r="F2" s="2">
        <v>47495</v>
      </c>
      <c r="G2" s="2">
        <v>4123</v>
      </c>
      <c r="H2" s="2">
        <v>23747</v>
      </c>
      <c r="I2" s="2">
        <v>9498</v>
      </c>
      <c r="J2" s="2">
        <v>14248</v>
      </c>
      <c r="K2" s="2">
        <v>1899</v>
      </c>
      <c r="L2" s="2">
        <v>200</v>
      </c>
      <c r="M2" s="2">
        <v>160</v>
      </c>
      <c r="N2" s="2">
        <v>12</v>
      </c>
      <c r="O2" s="2">
        <v>296.83999999999997</v>
      </c>
      <c r="P2" s="2">
        <v>593.67999999999995</v>
      </c>
      <c r="Q2" s="2">
        <v>7124.16</v>
      </c>
      <c r="R2" s="2">
        <v>76266.16</v>
      </c>
      <c r="S2" s="4">
        <v>80389.16</v>
      </c>
    </row>
    <row r="3" spans="1:19" x14ac:dyDescent="0.3">
      <c r="A3" s="3" t="s">
        <v>138</v>
      </c>
      <c r="B3" s="2" t="s">
        <v>335</v>
      </c>
      <c r="C3" s="2" t="s">
        <v>417</v>
      </c>
      <c r="D3" s="2">
        <v>738195</v>
      </c>
      <c r="E3" s="2">
        <v>697584</v>
      </c>
      <c r="F3" s="2">
        <v>52163</v>
      </c>
      <c r="G3" s="2">
        <v>5969</v>
      </c>
      <c r="H3" s="2">
        <v>26081</v>
      </c>
      <c r="I3" s="2">
        <v>10432</v>
      </c>
      <c r="J3" s="2">
        <v>15648</v>
      </c>
      <c r="K3" s="2">
        <v>2086</v>
      </c>
      <c r="L3" s="2">
        <v>200</v>
      </c>
      <c r="M3" s="2">
        <v>160</v>
      </c>
      <c r="N3" s="2">
        <v>12</v>
      </c>
      <c r="O3" s="2">
        <v>326.02</v>
      </c>
      <c r="P3" s="2">
        <v>652.04</v>
      </c>
      <c r="Q3" s="2">
        <v>7824.48</v>
      </c>
      <c r="R3" s="2">
        <v>83781.48</v>
      </c>
      <c r="S3" s="4">
        <v>89750.48</v>
      </c>
    </row>
    <row r="4" spans="1:19" x14ac:dyDescent="0.3">
      <c r="A4" s="3" t="s">
        <v>139</v>
      </c>
      <c r="B4" s="2" t="s">
        <v>336</v>
      </c>
      <c r="C4" s="2" t="s">
        <v>419</v>
      </c>
      <c r="D4" s="2">
        <v>738861</v>
      </c>
      <c r="E4" s="2">
        <v>371064</v>
      </c>
      <c r="F4" s="2">
        <v>23077</v>
      </c>
      <c r="G4" s="2">
        <v>7845</v>
      </c>
      <c r="H4" s="2">
        <v>11538</v>
      </c>
      <c r="I4" s="2">
        <v>4615</v>
      </c>
      <c r="J4" s="2">
        <v>6923</v>
      </c>
      <c r="K4" s="2">
        <v>923</v>
      </c>
      <c r="L4" s="2">
        <v>200</v>
      </c>
      <c r="M4" s="2">
        <v>160</v>
      </c>
      <c r="N4" s="2">
        <v>14</v>
      </c>
      <c r="O4" s="2">
        <v>144.22999999999999</v>
      </c>
      <c r="P4" s="2">
        <v>288.45999999999998</v>
      </c>
      <c r="Q4" s="2">
        <v>4038.44</v>
      </c>
      <c r="R4" s="2">
        <v>37530.44</v>
      </c>
      <c r="S4" s="4">
        <v>45375.44</v>
      </c>
    </row>
    <row r="5" spans="1:19" x14ac:dyDescent="0.3">
      <c r="A5" s="3" t="s">
        <v>140</v>
      </c>
      <c r="B5" s="2" t="s">
        <v>337</v>
      </c>
      <c r="C5" s="2" t="s">
        <v>414</v>
      </c>
      <c r="D5" s="2">
        <v>738172</v>
      </c>
      <c r="E5" s="2">
        <v>535548</v>
      </c>
      <c r="F5" s="2">
        <v>40010</v>
      </c>
      <c r="G5" s="2">
        <v>4619</v>
      </c>
      <c r="H5" s="2">
        <v>20005</v>
      </c>
      <c r="I5" s="2">
        <v>8002</v>
      </c>
      <c r="J5" s="2">
        <v>12003</v>
      </c>
      <c r="K5" s="2">
        <v>1600</v>
      </c>
      <c r="L5" s="2">
        <v>200</v>
      </c>
      <c r="M5" s="2">
        <v>160</v>
      </c>
      <c r="N5" s="2">
        <v>7</v>
      </c>
      <c r="O5" s="2">
        <v>250.06</v>
      </c>
      <c r="P5" s="2">
        <v>500.12</v>
      </c>
      <c r="Q5" s="2">
        <v>3500.84</v>
      </c>
      <c r="R5" s="2">
        <v>61715.839999999997</v>
      </c>
      <c r="S5" s="4">
        <v>66334.84</v>
      </c>
    </row>
    <row r="6" spans="1:19" x14ac:dyDescent="0.3">
      <c r="A6" s="3" t="s">
        <v>141</v>
      </c>
      <c r="B6" s="2" t="s">
        <v>338</v>
      </c>
      <c r="C6" s="2" t="s">
        <v>414</v>
      </c>
      <c r="D6" s="2">
        <v>737677</v>
      </c>
      <c r="E6" s="2">
        <v>459504</v>
      </c>
      <c r="F6" s="2">
        <v>33155</v>
      </c>
      <c r="G6" s="2">
        <v>5137</v>
      </c>
      <c r="H6" s="2">
        <v>16577</v>
      </c>
      <c r="I6" s="2">
        <v>6630</v>
      </c>
      <c r="J6" s="2">
        <v>9946</v>
      </c>
      <c r="K6" s="2">
        <v>1326</v>
      </c>
      <c r="L6" s="2">
        <v>200</v>
      </c>
      <c r="M6" s="2">
        <v>160</v>
      </c>
      <c r="N6" s="2">
        <v>9</v>
      </c>
      <c r="O6" s="2">
        <v>207.22</v>
      </c>
      <c r="P6" s="2">
        <v>414.44</v>
      </c>
      <c r="Q6" s="2">
        <v>3729.96</v>
      </c>
      <c r="R6" s="2">
        <v>51934.96</v>
      </c>
      <c r="S6" s="4">
        <v>57071.96</v>
      </c>
    </row>
    <row r="7" spans="1:19" x14ac:dyDescent="0.3">
      <c r="A7" s="3" t="s">
        <v>142</v>
      </c>
      <c r="B7" s="2" t="s">
        <v>339</v>
      </c>
      <c r="C7" s="2" t="s">
        <v>416</v>
      </c>
      <c r="D7" s="2">
        <v>737936</v>
      </c>
      <c r="E7" s="2">
        <v>331284</v>
      </c>
      <c r="F7" s="2">
        <v>22209</v>
      </c>
      <c r="G7" s="2">
        <v>5398</v>
      </c>
      <c r="H7" s="2">
        <v>11104</v>
      </c>
      <c r="I7" s="2">
        <v>4441</v>
      </c>
      <c r="J7" s="2">
        <v>6662</v>
      </c>
      <c r="K7" s="2">
        <v>888</v>
      </c>
      <c r="L7" s="2">
        <v>200</v>
      </c>
      <c r="M7" s="2">
        <v>160</v>
      </c>
      <c r="N7" s="2">
        <v>18</v>
      </c>
      <c r="O7" s="2">
        <v>138.81</v>
      </c>
      <c r="P7" s="2">
        <v>277.62</v>
      </c>
      <c r="Q7" s="2">
        <v>4997.16</v>
      </c>
      <c r="R7" s="2">
        <v>37221.160000000003</v>
      </c>
      <c r="S7" s="4">
        <v>42619.16</v>
      </c>
    </row>
    <row r="8" spans="1:19" x14ac:dyDescent="0.3">
      <c r="A8" s="3" t="s">
        <v>143</v>
      </c>
      <c r="B8" s="2" t="s">
        <v>340</v>
      </c>
      <c r="C8" s="2" t="s">
        <v>419</v>
      </c>
      <c r="D8" s="2">
        <v>739282</v>
      </c>
      <c r="E8" s="2">
        <v>647280</v>
      </c>
      <c r="F8" s="2">
        <v>48534</v>
      </c>
      <c r="G8" s="2">
        <v>5406</v>
      </c>
      <c r="H8" s="2">
        <v>24267</v>
      </c>
      <c r="I8" s="2">
        <v>9706</v>
      </c>
      <c r="J8" s="2">
        <v>14560</v>
      </c>
      <c r="K8" s="2">
        <v>1941</v>
      </c>
      <c r="L8" s="2">
        <v>200</v>
      </c>
      <c r="M8" s="2">
        <v>160</v>
      </c>
      <c r="N8" s="2">
        <v>6</v>
      </c>
      <c r="O8" s="2">
        <v>303.33999999999997</v>
      </c>
      <c r="P8" s="2">
        <v>606.67999999999995</v>
      </c>
      <c r="Q8" s="2">
        <v>3640.08</v>
      </c>
      <c r="R8" s="2">
        <v>74299.08</v>
      </c>
      <c r="S8" s="4">
        <v>79705.08</v>
      </c>
    </row>
    <row r="9" spans="1:19" x14ac:dyDescent="0.3">
      <c r="A9" s="3" t="s">
        <v>144</v>
      </c>
      <c r="B9" s="2" t="s">
        <v>341</v>
      </c>
      <c r="C9" s="2" t="s">
        <v>414</v>
      </c>
      <c r="D9" s="2">
        <v>738780</v>
      </c>
      <c r="E9" s="2">
        <v>635232</v>
      </c>
      <c r="F9" s="2">
        <v>43524</v>
      </c>
      <c r="G9" s="2">
        <v>9412</v>
      </c>
      <c r="H9" s="2">
        <v>21762</v>
      </c>
      <c r="I9" s="2">
        <v>8704</v>
      </c>
      <c r="J9" s="2">
        <v>13057</v>
      </c>
      <c r="K9" s="2">
        <v>1740</v>
      </c>
      <c r="L9" s="2">
        <v>200</v>
      </c>
      <c r="M9" s="2">
        <v>160</v>
      </c>
      <c r="N9" s="2">
        <v>5</v>
      </c>
      <c r="O9" s="2">
        <v>272.02</v>
      </c>
      <c r="P9" s="2">
        <v>544.04</v>
      </c>
      <c r="Q9" s="2">
        <v>2720.2</v>
      </c>
      <c r="R9" s="2">
        <v>66065.2</v>
      </c>
      <c r="S9" s="4">
        <v>75477.2</v>
      </c>
    </row>
    <row r="10" spans="1:19" x14ac:dyDescent="0.3">
      <c r="A10" s="3" t="s">
        <v>145</v>
      </c>
      <c r="B10" s="2" t="s">
        <v>342</v>
      </c>
      <c r="C10" s="2" t="s">
        <v>417</v>
      </c>
      <c r="D10" s="2">
        <v>739418</v>
      </c>
      <c r="E10" s="2">
        <v>586020</v>
      </c>
      <c r="F10" s="2">
        <v>42928</v>
      </c>
      <c r="G10" s="2">
        <v>5907</v>
      </c>
      <c r="H10" s="2">
        <v>21464</v>
      </c>
      <c r="I10" s="2">
        <v>8585</v>
      </c>
      <c r="J10" s="2">
        <v>12878</v>
      </c>
      <c r="K10" s="2">
        <v>1717</v>
      </c>
      <c r="L10" s="2">
        <v>200</v>
      </c>
      <c r="M10" s="2">
        <v>160</v>
      </c>
      <c r="N10" s="2">
        <v>5</v>
      </c>
      <c r="O10" s="2">
        <v>268.3</v>
      </c>
      <c r="P10" s="2">
        <v>536.6</v>
      </c>
      <c r="Q10" s="2">
        <v>2683</v>
      </c>
      <c r="R10" s="2">
        <v>65157</v>
      </c>
      <c r="S10" s="4">
        <v>71064</v>
      </c>
    </row>
    <row r="11" spans="1:19" x14ac:dyDescent="0.3">
      <c r="A11" s="3" t="s">
        <v>146</v>
      </c>
      <c r="B11" s="2" t="s">
        <v>343</v>
      </c>
      <c r="C11" s="2" t="s">
        <v>419</v>
      </c>
      <c r="D11" s="2">
        <v>738283</v>
      </c>
      <c r="E11" s="2">
        <v>630588</v>
      </c>
      <c r="F11" s="2">
        <v>43558</v>
      </c>
      <c r="G11" s="2">
        <v>8991</v>
      </c>
      <c r="H11" s="2">
        <v>21779</v>
      </c>
      <c r="I11" s="2">
        <v>8711</v>
      </c>
      <c r="J11" s="2">
        <v>13067</v>
      </c>
      <c r="K11" s="2">
        <v>1742</v>
      </c>
      <c r="L11" s="2">
        <v>200</v>
      </c>
      <c r="M11" s="2">
        <v>160</v>
      </c>
      <c r="N11" s="2">
        <v>18</v>
      </c>
      <c r="O11" s="2">
        <v>272.24</v>
      </c>
      <c r="P11" s="2">
        <v>544.48</v>
      </c>
      <c r="Q11" s="2">
        <v>9800.64</v>
      </c>
      <c r="R11" s="2">
        <v>73194.64</v>
      </c>
      <c r="S11" s="4">
        <v>82185.64</v>
      </c>
    </row>
    <row r="12" spans="1:19" x14ac:dyDescent="0.3">
      <c r="A12" s="3" t="s">
        <v>147</v>
      </c>
      <c r="B12" s="2" t="s">
        <v>344</v>
      </c>
      <c r="C12" s="2" t="s">
        <v>415</v>
      </c>
      <c r="D12" s="2">
        <v>739296</v>
      </c>
      <c r="E12" s="2">
        <v>802656</v>
      </c>
      <c r="F12" s="2">
        <v>57534</v>
      </c>
      <c r="G12" s="2">
        <v>9354</v>
      </c>
      <c r="H12" s="2">
        <v>28767</v>
      </c>
      <c r="I12" s="2">
        <v>11506</v>
      </c>
      <c r="J12" s="2">
        <v>17260</v>
      </c>
      <c r="K12" s="2">
        <v>2301</v>
      </c>
      <c r="L12" s="2">
        <v>200</v>
      </c>
      <c r="M12" s="2">
        <v>160</v>
      </c>
      <c r="N12" s="2">
        <v>12</v>
      </c>
      <c r="O12" s="2">
        <v>359.59</v>
      </c>
      <c r="P12" s="2">
        <v>719.18</v>
      </c>
      <c r="Q12" s="2">
        <v>8630.16</v>
      </c>
      <c r="R12" s="2">
        <v>92429.16</v>
      </c>
      <c r="S12" s="4">
        <v>101783.16</v>
      </c>
    </row>
    <row r="13" spans="1:19" x14ac:dyDescent="0.3">
      <c r="A13" s="3" t="s">
        <v>148</v>
      </c>
      <c r="B13" s="2" t="s">
        <v>345</v>
      </c>
      <c r="C13" s="2" t="s">
        <v>418</v>
      </c>
      <c r="D13" s="2">
        <v>737958</v>
      </c>
      <c r="E13" s="2">
        <v>497484</v>
      </c>
      <c r="F13" s="2">
        <v>35887</v>
      </c>
      <c r="G13" s="2">
        <v>5570</v>
      </c>
      <c r="H13" s="2">
        <v>17943</v>
      </c>
      <c r="I13" s="2">
        <v>7177</v>
      </c>
      <c r="J13" s="2">
        <v>10766</v>
      </c>
      <c r="K13" s="2">
        <v>1435</v>
      </c>
      <c r="L13" s="2">
        <v>200</v>
      </c>
      <c r="M13" s="2">
        <v>160</v>
      </c>
      <c r="N13" s="2">
        <v>20</v>
      </c>
      <c r="O13" s="2">
        <v>224.29</v>
      </c>
      <c r="P13" s="2">
        <v>448.58</v>
      </c>
      <c r="Q13" s="2">
        <v>8971.6</v>
      </c>
      <c r="R13" s="2">
        <v>61166.6</v>
      </c>
      <c r="S13" s="4">
        <v>66736.600000000006</v>
      </c>
    </row>
    <row r="14" spans="1:19" x14ac:dyDescent="0.3">
      <c r="A14" s="3" t="s">
        <v>149</v>
      </c>
      <c r="B14" s="2" t="s">
        <v>346</v>
      </c>
      <c r="C14" s="2" t="s">
        <v>413</v>
      </c>
      <c r="D14" s="2">
        <v>738652</v>
      </c>
      <c r="E14" s="2">
        <v>570084</v>
      </c>
      <c r="F14" s="2">
        <v>40028</v>
      </c>
      <c r="G14" s="2">
        <v>7479</v>
      </c>
      <c r="H14" s="2">
        <v>20014</v>
      </c>
      <c r="I14" s="2">
        <v>8005</v>
      </c>
      <c r="J14" s="2">
        <v>12008</v>
      </c>
      <c r="K14" s="2">
        <v>1601</v>
      </c>
      <c r="L14" s="2">
        <v>200</v>
      </c>
      <c r="M14" s="2">
        <v>160</v>
      </c>
      <c r="N14" s="2">
        <v>17</v>
      </c>
      <c r="O14" s="2">
        <v>250.18</v>
      </c>
      <c r="P14" s="2">
        <v>500.36</v>
      </c>
      <c r="Q14" s="2">
        <v>8506.1200000000008</v>
      </c>
      <c r="R14" s="2">
        <v>66746.12</v>
      </c>
      <c r="S14" s="4">
        <v>74225.119999999995</v>
      </c>
    </row>
    <row r="15" spans="1:19" x14ac:dyDescent="0.3">
      <c r="A15" s="3" t="s">
        <v>150</v>
      </c>
      <c r="B15" s="2" t="s">
        <v>347</v>
      </c>
      <c r="C15" s="2" t="s">
        <v>416</v>
      </c>
      <c r="D15" s="2">
        <v>737736</v>
      </c>
      <c r="E15" s="2">
        <v>697944</v>
      </c>
      <c r="F15" s="2">
        <v>48630</v>
      </c>
      <c r="G15" s="2">
        <v>9532</v>
      </c>
      <c r="H15" s="2">
        <v>24315</v>
      </c>
      <c r="I15" s="2">
        <v>9726</v>
      </c>
      <c r="J15" s="2">
        <v>14589</v>
      </c>
      <c r="K15" s="2">
        <v>1945</v>
      </c>
      <c r="L15" s="2">
        <v>200</v>
      </c>
      <c r="M15" s="2">
        <v>160</v>
      </c>
      <c r="N15" s="2">
        <v>9</v>
      </c>
      <c r="O15" s="2">
        <v>303.94</v>
      </c>
      <c r="P15" s="2">
        <v>607.88</v>
      </c>
      <c r="Q15" s="2">
        <v>5470.92</v>
      </c>
      <c r="R15" s="2">
        <v>76270.92</v>
      </c>
      <c r="S15" s="4">
        <v>85802.92</v>
      </c>
    </row>
    <row r="16" spans="1:19" x14ac:dyDescent="0.3">
      <c r="A16" s="3" t="s">
        <v>151</v>
      </c>
      <c r="B16" s="2" t="s">
        <v>348</v>
      </c>
      <c r="C16" s="2" t="s">
        <v>415</v>
      </c>
      <c r="D16" s="2">
        <v>739247</v>
      </c>
      <c r="E16" s="2">
        <v>350352</v>
      </c>
      <c r="F16" s="2">
        <v>19767</v>
      </c>
      <c r="G16" s="2">
        <v>9429</v>
      </c>
      <c r="H16" s="2">
        <v>9883</v>
      </c>
      <c r="I16" s="2">
        <v>3953</v>
      </c>
      <c r="J16" s="2">
        <v>5930</v>
      </c>
      <c r="K16" s="2">
        <v>790</v>
      </c>
      <c r="L16" s="2">
        <v>200</v>
      </c>
      <c r="M16" s="2">
        <v>160</v>
      </c>
      <c r="N16" s="2">
        <v>17</v>
      </c>
      <c r="O16" s="2">
        <v>123.54</v>
      </c>
      <c r="P16" s="2">
        <v>247.08</v>
      </c>
      <c r="Q16" s="2">
        <v>4200.3599999999997</v>
      </c>
      <c r="R16" s="2">
        <v>32860.36</v>
      </c>
      <c r="S16" s="4">
        <v>42289.36</v>
      </c>
    </row>
    <row r="17" spans="1:19" x14ac:dyDescent="0.3">
      <c r="A17" s="3" t="s">
        <v>152</v>
      </c>
      <c r="B17" s="2" t="s">
        <v>349</v>
      </c>
      <c r="C17" s="2" t="s">
        <v>415</v>
      </c>
      <c r="D17" s="2">
        <v>739371</v>
      </c>
      <c r="E17" s="2">
        <v>269556</v>
      </c>
      <c r="F17" s="2">
        <v>19776</v>
      </c>
      <c r="G17" s="2">
        <v>2687</v>
      </c>
      <c r="H17" s="2">
        <v>9888</v>
      </c>
      <c r="I17" s="2">
        <v>3955</v>
      </c>
      <c r="J17" s="2">
        <v>5932</v>
      </c>
      <c r="K17" s="2">
        <v>791</v>
      </c>
      <c r="L17" s="2">
        <v>200</v>
      </c>
      <c r="M17" s="2">
        <v>160</v>
      </c>
      <c r="N17" s="2">
        <v>18</v>
      </c>
      <c r="O17" s="2">
        <v>123.6</v>
      </c>
      <c r="P17" s="2">
        <v>247.2</v>
      </c>
      <c r="Q17" s="2">
        <v>4449.6000000000004</v>
      </c>
      <c r="R17" s="2">
        <v>33121.599999999999</v>
      </c>
      <c r="S17" s="4">
        <v>35808.6</v>
      </c>
    </row>
    <row r="18" spans="1:19" x14ac:dyDescent="0.3">
      <c r="A18" s="3" t="s">
        <v>153</v>
      </c>
      <c r="B18" s="2" t="s">
        <v>350</v>
      </c>
      <c r="C18" s="2" t="s">
        <v>414</v>
      </c>
      <c r="D18" s="2">
        <v>738951</v>
      </c>
      <c r="E18" s="2">
        <v>387840</v>
      </c>
      <c r="F18" s="2">
        <v>29909</v>
      </c>
      <c r="G18" s="2">
        <v>2411</v>
      </c>
      <c r="H18" s="2">
        <v>14954</v>
      </c>
      <c r="I18" s="2">
        <v>5981</v>
      </c>
      <c r="J18" s="2">
        <v>8972</v>
      </c>
      <c r="K18" s="2">
        <v>1196</v>
      </c>
      <c r="L18" s="2">
        <v>200</v>
      </c>
      <c r="M18" s="2">
        <v>160</v>
      </c>
      <c r="N18" s="2">
        <v>13</v>
      </c>
      <c r="O18" s="2">
        <v>186.93</v>
      </c>
      <c r="P18" s="2">
        <v>373.86</v>
      </c>
      <c r="Q18" s="2">
        <v>4860.18</v>
      </c>
      <c r="R18" s="2">
        <v>48326.18</v>
      </c>
      <c r="S18" s="4">
        <v>50737.18</v>
      </c>
    </row>
    <row r="19" spans="1:19" x14ac:dyDescent="0.3">
      <c r="A19" s="3" t="s">
        <v>154</v>
      </c>
      <c r="B19" s="2" t="s">
        <v>351</v>
      </c>
      <c r="C19" s="2" t="s">
        <v>418</v>
      </c>
      <c r="D19" s="2">
        <v>738400</v>
      </c>
      <c r="E19" s="2">
        <v>451140</v>
      </c>
      <c r="F19" s="2">
        <v>31871</v>
      </c>
      <c r="G19" s="2">
        <v>5724</v>
      </c>
      <c r="H19" s="2">
        <v>15935</v>
      </c>
      <c r="I19" s="2">
        <v>6374</v>
      </c>
      <c r="J19" s="2">
        <v>9561</v>
      </c>
      <c r="K19" s="2">
        <v>1274</v>
      </c>
      <c r="L19" s="2">
        <v>200</v>
      </c>
      <c r="M19" s="2">
        <v>160</v>
      </c>
      <c r="N19" s="2">
        <v>15</v>
      </c>
      <c r="O19" s="2">
        <v>199.19</v>
      </c>
      <c r="P19" s="2">
        <v>398.38</v>
      </c>
      <c r="Q19" s="2">
        <v>5975.7</v>
      </c>
      <c r="R19" s="2">
        <v>52307.7</v>
      </c>
      <c r="S19" s="4">
        <v>58031.7</v>
      </c>
    </row>
    <row r="20" spans="1:19" x14ac:dyDescent="0.3">
      <c r="A20" s="3" t="s">
        <v>155</v>
      </c>
      <c r="B20" s="2" t="s">
        <v>352</v>
      </c>
      <c r="C20" s="2" t="s">
        <v>419</v>
      </c>
      <c r="D20" s="2">
        <v>738612</v>
      </c>
      <c r="E20" s="2">
        <v>532740</v>
      </c>
      <c r="F20" s="2">
        <v>36235</v>
      </c>
      <c r="G20" s="2">
        <v>8160</v>
      </c>
      <c r="H20" s="2">
        <v>18117</v>
      </c>
      <c r="I20" s="2">
        <v>7246</v>
      </c>
      <c r="J20" s="2">
        <v>10870</v>
      </c>
      <c r="K20" s="2">
        <v>1449</v>
      </c>
      <c r="L20" s="2">
        <v>200</v>
      </c>
      <c r="M20" s="2">
        <v>160</v>
      </c>
      <c r="N20" s="2">
        <v>18</v>
      </c>
      <c r="O20" s="2">
        <v>226.47</v>
      </c>
      <c r="P20" s="2">
        <v>452.94</v>
      </c>
      <c r="Q20" s="2">
        <v>8152.92</v>
      </c>
      <c r="R20" s="2">
        <v>60854.92</v>
      </c>
      <c r="S20" s="4">
        <v>69014.92</v>
      </c>
    </row>
    <row r="21" spans="1:19" x14ac:dyDescent="0.3">
      <c r="A21" s="3" t="s">
        <v>156</v>
      </c>
      <c r="B21" s="2" t="s">
        <v>353</v>
      </c>
      <c r="C21" s="2" t="s">
        <v>419</v>
      </c>
      <c r="D21" s="2">
        <v>737395</v>
      </c>
      <c r="E21" s="2">
        <v>611760</v>
      </c>
      <c r="F21" s="2">
        <v>48822</v>
      </c>
      <c r="G21" s="2">
        <v>2158</v>
      </c>
      <c r="H21" s="2">
        <v>24411</v>
      </c>
      <c r="I21" s="2">
        <v>9764</v>
      </c>
      <c r="J21" s="2">
        <v>14646</v>
      </c>
      <c r="K21" s="2">
        <v>1952</v>
      </c>
      <c r="L21" s="2">
        <v>200</v>
      </c>
      <c r="M21" s="2">
        <v>160</v>
      </c>
      <c r="N21" s="2">
        <v>6</v>
      </c>
      <c r="O21" s="2">
        <v>305.14</v>
      </c>
      <c r="P21" s="2">
        <v>610.28</v>
      </c>
      <c r="Q21" s="2">
        <v>3661.68</v>
      </c>
      <c r="R21" s="2">
        <v>74741.679999999993</v>
      </c>
      <c r="S21" s="4">
        <v>76899.679999999993</v>
      </c>
    </row>
    <row r="22" spans="1:19" x14ac:dyDescent="0.3">
      <c r="A22" s="3" t="s">
        <v>157</v>
      </c>
      <c r="B22" s="2" t="s">
        <v>354</v>
      </c>
      <c r="C22" s="2" t="s">
        <v>419</v>
      </c>
      <c r="D22" s="2">
        <v>737978</v>
      </c>
      <c r="E22" s="2">
        <v>370740</v>
      </c>
      <c r="F22" s="2">
        <v>22496</v>
      </c>
      <c r="G22" s="2">
        <v>8399</v>
      </c>
      <c r="H22" s="2">
        <v>11248</v>
      </c>
      <c r="I22" s="2">
        <v>4499</v>
      </c>
      <c r="J22" s="2">
        <v>6748</v>
      </c>
      <c r="K22" s="2">
        <v>899</v>
      </c>
      <c r="L22" s="2">
        <v>200</v>
      </c>
      <c r="M22" s="2">
        <v>160</v>
      </c>
      <c r="N22" s="2">
        <v>6</v>
      </c>
      <c r="O22" s="2">
        <v>140.6</v>
      </c>
      <c r="P22" s="2">
        <v>281.2</v>
      </c>
      <c r="Q22" s="2">
        <v>1687.2</v>
      </c>
      <c r="R22" s="2">
        <v>34331.199999999997</v>
      </c>
      <c r="S22" s="4">
        <v>42730.2</v>
      </c>
    </row>
    <row r="23" spans="1:19" x14ac:dyDescent="0.3">
      <c r="A23" s="3" t="s">
        <v>158</v>
      </c>
      <c r="B23" s="2" t="s">
        <v>355</v>
      </c>
      <c r="C23" s="2" t="s">
        <v>417</v>
      </c>
      <c r="D23" s="2">
        <v>737187</v>
      </c>
      <c r="E23" s="2">
        <v>454056</v>
      </c>
      <c r="F23" s="2">
        <v>34205</v>
      </c>
      <c r="G23" s="2">
        <v>3633</v>
      </c>
      <c r="H23" s="2">
        <v>17102</v>
      </c>
      <c r="I23" s="2">
        <v>6840</v>
      </c>
      <c r="J23" s="2">
        <v>10261</v>
      </c>
      <c r="K23" s="2">
        <v>1368</v>
      </c>
      <c r="L23" s="2">
        <v>200</v>
      </c>
      <c r="M23" s="2">
        <v>160</v>
      </c>
      <c r="N23" s="2">
        <v>5</v>
      </c>
      <c r="O23" s="2">
        <v>213.78</v>
      </c>
      <c r="P23" s="2">
        <v>427.56</v>
      </c>
      <c r="Q23" s="2">
        <v>2137.8000000000002</v>
      </c>
      <c r="R23" s="2">
        <v>51875.8</v>
      </c>
      <c r="S23" s="4">
        <v>55508.800000000003</v>
      </c>
    </row>
    <row r="24" spans="1:19" x14ac:dyDescent="0.3">
      <c r="A24" s="3" t="s">
        <v>159</v>
      </c>
      <c r="B24" s="2" t="s">
        <v>356</v>
      </c>
      <c r="C24" s="2" t="s">
        <v>415</v>
      </c>
      <c r="D24" s="2">
        <v>737684</v>
      </c>
      <c r="E24" s="2">
        <v>440004</v>
      </c>
      <c r="F24" s="2">
        <v>33633</v>
      </c>
      <c r="G24" s="2">
        <v>3034</v>
      </c>
      <c r="H24" s="2">
        <v>16816</v>
      </c>
      <c r="I24" s="2">
        <v>6726</v>
      </c>
      <c r="J24" s="2">
        <v>10089</v>
      </c>
      <c r="K24" s="2">
        <v>1345</v>
      </c>
      <c r="L24" s="2">
        <v>200</v>
      </c>
      <c r="M24" s="2">
        <v>160</v>
      </c>
      <c r="N24" s="2">
        <v>20</v>
      </c>
      <c r="O24" s="2">
        <v>210.21</v>
      </c>
      <c r="P24" s="2">
        <v>420.42</v>
      </c>
      <c r="Q24" s="2">
        <v>8408.4</v>
      </c>
      <c r="R24" s="2">
        <v>57311.4</v>
      </c>
      <c r="S24" s="4">
        <v>60345.4</v>
      </c>
    </row>
    <row r="25" spans="1:19" x14ac:dyDescent="0.3">
      <c r="A25" s="3" t="s">
        <v>160</v>
      </c>
      <c r="B25" s="2" t="s">
        <v>357</v>
      </c>
      <c r="C25" s="2" t="s">
        <v>416</v>
      </c>
      <c r="D25" s="2">
        <v>737528</v>
      </c>
      <c r="E25" s="2">
        <v>776688</v>
      </c>
      <c r="F25" s="2">
        <v>54960</v>
      </c>
      <c r="G25" s="2">
        <v>9764</v>
      </c>
      <c r="H25" s="2">
        <v>27480</v>
      </c>
      <c r="I25" s="2">
        <v>10992</v>
      </c>
      <c r="J25" s="2">
        <v>16488</v>
      </c>
      <c r="K25" s="2">
        <v>2198</v>
      </c>
      <c r="L25" s="2">
        <v>200</v>
      </c>
      <c r="M25" s="2">
        <v>160</v>
      </c>
      <c r="N25" s="2">
        <v>11</v>
      </c>
      <c r="O25" s="2">
        <v>343.5</v>
      </c>
      <c r="P25" s="2">
        <v>687</v>
      </c>
      <c r="Q25" s="2">
        <v>7557</v>
      </c>
      <c r="R25" s="2">
        <v>87599</v>
      </c>
      <c r="S25" s="4">
        <v>97363</v>
      </c>
    </row>
    <row r="26" spans="1:19" x14ac:dyDescent="0.3">
      <c r="A26" s="3" t="s">
        <v>161</v>
      </c>
      <c r="B26" s="2" t="s">
        <v>358</v>
      </c>
      <c r="C26" s="2" t="s">
        <v>418</v>
      </c>
      <c r="D26" s="2">
        <v>738109</v>
      </c>
      <c r="E26" s="2">
        <v>546588</v>
      </c>
      <c r="F26" s="2">
        <v>42175</v>
      </c>
      <c r="G26" s="2">
        <v>3374</v>
      </c>
      <c r="H26" s="2">
        <v>21087</v>
      </c>
      <c r="I26" s="2">
        <v>8434</v>
      </c>
      <c r="J26" s="2">
        <v>12652</v>
      </c>
      <c r="K26" s="2">
        <v>1686</v>
      </c>
      <c r="L26" s="2">
        <v>200</v>
      </c>
      <c r="M26" s="2">
        <v>160</v>
      </c>
      <c r="N26" s="2">
        <v>8</v>
      </c>
      <c r="O26" s="2">
        <v>263.58999999999997</v>
      </c>
      <c r="P26" s="2">
        <v>527.17999999999995</v>
      </c>
      <c r="Q26" s="2">
        <v>4217.4399999999996</v>
      </c>
      <c r="R26" s="2">
        <v>65592.44</v>
      </c>
      <c r="S26" s="4">
        <v>68966.44</v>
      </c>
    </row>
    <row r="27" spans="1:19" x14ac:dyDescent="0.3">
      <c r="A27" s="3" t="s">
        <v>162</v>
      </c>
      <c r="B27" s="2" t="s">
        <v>359</v>
      </c>
      <c r="C27" s="2" t="s">
        <v>417</v>
      </c>
      <c r="D27" s="2">
        <v>737730</v>
      </c>
      <c r="E27" s="2">
        <v>495228</v>
      </c>
      <c r="F27" s="2">
        <v>38384</v>
      </c>
      <c r="G27" s="2">
        <v>2885</v>
      </c>
      <c r="H27" s="2">
        <v>19192</v>
      </c>
      <c r="I27" s="2">
        <v>7676</v>
      </c>
      <c r="J27" s="2">
        <v>11515</v>
      </c>
      <c r="K27" s="2">
        <v>1535</v>
      </c>
      <c r="L27" s="2">
        <v>200</v>
      </c>
      <c r="M27" s="2">
        <v>160</v>
      </c>
      <c r="N27" s="2">
        <v>5</v>
      </c>
      <c r="O27" s="2">
        <v>239.9</v>
      </c>
      <c r="P27" s="2">
        <v>479.8</v>
      </c>
      <c r="Q27" s="2">
        <v>2399</v>
      </c>
      <c r="R27" s="2">
        <v>58239</v>
      </c>
      <c r="S27" s="4">
        <v>61124</v>
      </c>
    </row>
    <row r="28" spans="1:19" x14ac:dyDescent="0.3">
      <c r="A28" s="3" t="s">
        <v>163</v>
      </c>
      <c r="B28" s="2" t="s">
        <v>360</v>
      </c>
      <c r="C28" s="2" t="s">
        <v>419</v>
      </c>
      <c r="D28" s="2">
        <v>739418</v>
      </c>
      <c r="E28" s="2">
        <v>574140</v>
      </c>
      <c r="F28" s="2">
        <v>42596</v>
      </c>
      <c r="G28" s="2">
        <v>5249</v>
      </c>
      <c r="H28" s="2">
        <v>21298</v>
      </c>
      <c r="I28" s="2">
        <v>8519</v>
      </c>
      <c r="J28" s="2">
        <v>12778</v>
      </c>
      <c r="K28" s="2">
        <v>1703</v>
      </c>
      <c r="L28" s="2">
        <v>200</v>
      </c>
      <c r="M28" s="2">
        <v>160</v>
      </c>
      <c r="N28" s="2">
        <v>11</v>
      </c>
      <c r="O28" s="2">
        <v>266.23</v>
      </c>
      <c r="P28" s="2">
        <v>532.46</v>
      </c>
      <c r="Q28" s="2">
        <v>5857.06</v>
      </c>
      <c r="R28" s="2">
        <v>67847.06</v>
      </c>
      <c r="S28" s="4">
        <v>73096.06</v>
      </c>
    </row>
    <row r="29" spans="1:19" x14ac:dyDescent="0.3">
      <c r="A29" s="3" t="s">
        <v>164</v>
      </c>
      <c r="B29" s="2" t="s">
        <v>361</v>
      </c>
      <c r="C29" s="2" t="s">
        <v>413</v>
      </c>
      <c r="D29" s="2">
        <v>739485</v>
      </c>
      <c r="E29" s="2">
        <v>757140</v>
      </c>
      <c r="F29" s="2">
        <v>59106</v>
      </c>
      <c r="G29" s="2">
        <v>3989</v>
      </c>
      <c r="H29" s="2">
        <v>29553</v>
      </c>
      <c r="I29" s="2">
        <v>11821</v>
      </c>
      <c r="J29" s="2">
        <v>17731</v>
      </c>
      <c r="K29" s="2">
        <v>2364</v>
      </c>
      <c r="L29" s="2">
        <v>200</v>
      </c>
      <c r="M29" s="2">
        <v>160</v>
      </c>
      <c r="N29" s="2">
        <v>8</v>
      </c>
      <c r="O29" s="2">
        <v>369.41</v>
      </c>
      <c r="P29" s="2">
        <v>738.82</v>
      </c>
      <c r="Q29" s="2">
        <v>5910.56</v>
      </c>
      <c r="R29" s="2">
        <v>92004.56</v>
      </c>
      <c r="S29" s="4">
        <v>95993.56</v>
      </c>
    </row>
    <row r="30" spans="1:19" x14ac:dyDescent="0.3">
      <c r="A30" s="3" t="s">
        <v>165</v>
      </c>
      <c r="B30" s="2" t="s">
        <v>362</v>
      </c>
      <c r="C30" s="2" t="s">
        <v>416</v>
      </c>
      <c r="D30" s="2">
        <v>738295</v>
      </c>
      <c r="E30" s="2">
        <v>791352</v>
      </c>
      <c r="F30" s="2">
        <v>57348</v>
      </c>
      <c r="G30" s="2">
        <v>8598</v>
      </c>
      <c r="H30" s="2">
        <v>28674</v>
      </c>
      <c r="I30" s="2">
        <v>11469</v>
      </c>
      <c r="J30" s="2">
        <v>17204</v>
      </c>
      <c r="K30" s="2">
        <v>2293</v>
      </c>
      <c r="L30" s="2">
        <v>200</v>
      </c>
      <c r="M30" s="2">
        <v>160</v>
      </c>
      <c r="N30" s="2">
        <v>8</v>
      </c>
      <c r="O30" s="2">
        <v>358.43</v>
      </c>
      <c r="P30" s="2">
        <v>716.86</v>
      </c>
      <c r="Q30" s="2">
        <v>5734.88</v>
      </c>
      <c r="R30" s="2">
        <v>89262.88</v>
      </c>
      <c r="S30" s="4">
        <v>97860.88</v>
      </c>
    </row>
    <row r="31" spans="1:19" x14ac:dyDescent="0.3">
      <c r="A31" s="3" t="s">
        <v>166</v>
      </c>
      <c r="B31" s="2" t="s">
        <v>363</v>
      </c>
      <c r="C31" s="2" t="s">
        <v>417</v>
      </c>
      <c r="D31" s="2">
        <v>739378</v>
      </c>
      <c r="E31" s="2">
        <v>306420</v>
      </c>
      <c r="F31" s="2">
        <v>20691</v>
      </c>
      <c r="G31" s="2">
        <v>4844</v>
      </c>
      <c r="H31" s="2">
        <v>10345</v>
      </c>
      <c r="I31" s="2">
        <v>4138</v>
      </c>
      <c r="J31" s="2">
        <v>6207</v>
      </c>
      <c r="K31" s="2">
        <v>827</v>
      </c>
      <c r="L31" s="2">
        <v>200</v>
      </c>
      <c r="M31" s="2">
        <v>160</v>
      </c>
      <c r="N31" s="2">
        <v>18</v>
      </c>
      <c r="O31" s="2">
        <v>129.32</v>
      </c>
      <c r="P31" s="2">
        <v>258.64</v>
      </c>
      <c r="Q31" s="2">
        <v>4655.5200000000004</v>
      </c>
      <c r="R31" s="2">
        <v>34664.519999999997</v>
      </c>
      <c r="S31" s="4">
        <v>39508.519999999997</v>
      </c>
    </row>
    <row r="32" spans="1:19" x14ac:dyDescent="0.3">
      <c r="A32" s="3" t="s">
        <v>167</v>
      </c>
      <c r="B32" s="2" t="s">
        <v>364</v>
      </c>
      <c r="C32" s="2" t="s">
        <v>416</v>
      </c>
      <c r="D32" s="2">
        <v>738577</v>
      </c>
      <c r="E32" s="2">
        <v>343956</v>
      </c>
      <c r="F32" s="2">
        <v>22519</v>
      </c>
      <c r="G32" s="2">
        <v>6144</v>
      </c>
      <c r="H32" s="2">
        <v>11259</v>
      </c>
      <c r="I32" s="2">
        <v>4503</v>
      </c>
      <c r="J32" s="2">
        <v>6755</v>
      </c>
      <c r="K32" s="2">
        <v>900</v>
      </c>
      <c r="L32" s="2">
        <v>200</v>
      </c>
      <c r="M32" s="2">
        <v>160</v>
      </c>
      <c r="N32" s="2">
        <v>15</v>
      </c>
      <c r="O32" s="2">
        <v>140.74</v>
      </c>
      <c r="P32" s="2">
        <v>281.48</v>
      </c>
      <c r="Q32" s="2">
        <v>4222.2</v>
      </c>
      <c r="R32" s="2">
        <v>36899.199999999997</v>
      </c>
      <c r="S32" s="4">
        <v>43043.199999999997</v>
      </c>
    </row>
    <row r="33" spans="1:19" x14ac:dyDescent="0.3">
      <c r="A33" s="3" t="s">
        <v>168</v>
      </c>
      <c r="B33" s="2" t="s">
        <v>365</v>
      </c>
      <c r="C33" s="2" t="s">
        <v>413</v>
      </c>
      <c r="D33" s="2">
        <v>738780</v>
      </c>
      <c r="E33" s="2">
        <v>635868</v>
      </c>
      <c r="F33" s="2">
        <v>50125</v>
      </c>
      <c r="G33" s="2">
        <v>2864</v>
      </c>
      <c r="H33" s="2">
        <v>25062</v>
      </c>
      <c r="I33" s="2">
        <v>10024</v>
      </c>
      <c r="J33" s="2">
        <v>15037</v>
      </c>
      <c r="K33" s="2">
        <v>2004</v>
      </c>
      <c r="L33" s="2">
        <v>200</v>
      </c>
      <c r="M33" s="2">
        <v>160</v>
      </c>
      <c r="N33" s="2">
        <v>18</v>
      </c>
      <c r="O33" s="2">
        <v>313.27999999999997</v>
      </c>
      <c r="P33" s="2">
        <v>626.55999999999995</v>
      </c>
      <c r="Q33" s="2">
        <v>11278.08</v>
      </c>
      <c r="R33" s="2">
        <v>84260.08</v>
      </c>
      <c r="S33" s="4">
        <v>87124.08</v>
      </c>
    </row>
    <row r="34" spans="1:19" x14ac:dyDescent="0.3">
      <c r="A34" s="3" t="s">
        <v>169</v>
      </c>
      <c r="B34" s="2" t="s">
        <v>366</v>
      </c>
      <c r="C34" s="2" t="s">
        <v>419</v>
      </c>
      <c r="D34" s="2">
        <v>738943</v>
      </c>
      <c r="E34" s="2">
        <v>403116</v>
      </c>
      <c r="F34" s="2">
        <v>28026</v>
      </c>
      <c r="G34" s="2">
        <v>5567</v>
      </c>
      <c r="H34" s="2">
        <v>14013</v>
      </c>
      <c r="I34" s="2">
        <v>5605</v>
      </c>
      <c r="J34" s="2">
        <v>8407</v>
      </c>
      <c r="K34" s="2">
        <v>1121</v>
      </c>
      <c r="L34" s="2">
        <v>200</v>
      </c>
      <c r="M34" s="2">
        <v>160</v>
      </c>
      <c r="N34" s="2">
        <v>10</v>
      </c>
      <c r="O34" s="2">
        <v>175.16</v>
      </c>
      <c r="P34" s="2">
        <v>350.32</v>
      </c>
      <c r="Q34" s="2">
        <v>3503.2</v>
      </c>
      <c r="R34" s="2">
        <v>44220.2</v>
      </c>
      <c r="S34" s="4">
        <v>49787.199999999997</v>
      </c>
    </row>
    <row r="35" spans="1:19" x14ac:dyDescent="0.3">
      <c r="A35" s="3" t="s">
        <v>170</v>
      </c>
      <c r="B35" s="2" t="s">
        <v>367</v>
      </c>
      <c r="C35" s="2" t="s">
        <v>416</v>
      </c>
      <c r="D35" s="2">
        <v>739197</v>
      </c>
      <c r="E35" s="2">
        <v>512940</v>
      </c>
      <c r="F35" s="2">
        <v>35700</v>
      </c>
      <c r="G35" s="2">
        <v>7045</v>
      </c>
      <c r="H35" s="2">
        <v>17850</v>
      </c>
      <c r="I35" s="2">
        <v>7140</v>
      </c>
      <c r="J35" s="2">
        <v>10710</v>
      </c>
      <c r="K35" s="2">
        <v>1428</v>
      </c>
      <c r="L35" s="2">
        <v>200</v>
      </c>
      <c r="M35" s="2">
        <v>160</v>
      </c>
      <c r="N35" s="2">
        <v>20</v>
      </c>
      <c r="O35" s="2">
        <v>223.12</v>
      </c>
      <c r="P35" s="2">
        <v>446.24</v>
      </c>
      <c r="Q35" s="2">
        <v>8924.7999999999993</v>
      </c>
      <c r="R35" s="2">
        <v>60846.8</v>
      </c>
      <c r="S35" s="4">
        <v>67891.8</v>
      </c>
    </row>
    <row r="36" spans="1:19" x14ac:dyDescent="0.3">
      <c r="A36" s="3" t="s">
        <v>171</v>
      </c>
      <c r="B36" s="2" t="s">
        <v>368</v>
      </c>
      <c r="C36" s="2" t="s">
        <v>418</v>
      </c>
      <c r="D36" s="2">
        <v>738844</v>
      </c>
      <c r="E36" s="2">
        <v>732312</v>
      </c>
      <c r="F36" s="2">
        <v>56828</v>
      </c>
      <c r="G36" s="2">
        <v>4198</v>
      </c>
      <c r="H36" s="2">
        <v>28414</v>
      </c>
      <c r="I36" s="2">
        <v>11365</v>
      </c>
      <c r="J36" s="2">
        <v>17048</v>
      </c>
      <c r="K36" s="2">
        <v>2273</v>
      </c>
      <c r="L36" s="2">
        <v>200</v>
      </c>
      <c r="M36" s="2">
        <v>160</v>
      </c>
      <c r="N36" s="2">
        <v>15</v>
      </c>
      <c r="O36" s="2">
        <v>355.18</v>
      </c>
      <c r="P36" s="2">
        <v>710.36</v>
      </c>
      <c r="Q36" s="2">
        <v>10655.4</v>
      </c>
      <c r="R36" s="2">
        <v>93423.4</v>
      </c>
      <c r="S36" s="4">
        <v>97621.4</v>
      </c>
    </row>
    <row r="37" spans="1:19" x14ac:dyDescent="0.3">
      <c r="A37" s="3" t="s">
        <v>172</v>
      </c>
      <c r="B37" s="2" t="s">
        <v>369</v>
      </c>
      <c r="C37" s="2" t="s">
        <v>417</v>
      </c>
      <c r="D37" s="2">
        <v>738065</v>
      </c>
      <c r="E37" s="2">
        <v>335556</v>
      </c>
      <c r="F37" s="2">
        <v>23679</v>
      </c>
      <c r="G37" s="2">
        <v>4284</v>
      </c>
      <c r="H37" s="2">
        <v>11839</v>
      </c>
      <c r="I37" s="2">
        <v>4735</v>
      </c>
      <c r="J37" s="2">
        <v>7103</v>
      </c>
      <c r="K37" s="2">
        <v>947</v>
      </c>
      <c r="L37" s="2">
        <v>200</v>
      </c>
      <c r="M37" s="2">
        <v>160</v>
      </c>
      <c r="N37" s="2">
        <v>19</v>
      </c>
      <c r="O37" s="2">
        <v>147.99</v>
      </c>
      <c r="P37" s="2">
        <v>295.98</v>
      </c>
      <c r="Q37" s="2">
        <v>5623.62</v>
      </c>
      <c r="R37" s="2">
        <v>39993.620000000003</v>
      </c>
      <c r="S37" s="4">
        <v>44277.62</v>
      </c>
    </row>
    <row r="38" spans="1:19" x14ac:dyDescent="0.3">
      <c r="A38" s="3" t="s">
        <v>173</v>
      </c>
      <c r="B38" s="2" t="s">
        <v>370</v>
      </c>
      <c r="C38" s="2" t="s">
        <v>414</v>
      </c>
      <c r="D38" s="2">
        <v>738963</v>
      </c>
      <c r="E38" s="2">
        <v>748128</v>
      </c>
      <c r="F38" s="2">
        <v>55345</v>
      </c>
      <c r="G38" s="2">
        <v>6999</v>
      </c>
      <c r="H38" s="2">
        <v>27672</v>
      </c>
      <c r="I38" s="2">
        <v>11068</v>
      </c>
      <c r="J38" s="2">
        <v>16603</v>
      </c>
      <c r="K38" s="2">
        <v>2213</v>
      </c>
      <c r="L38" s="2">
        <v>200</v>
      </c>
      <c r="M38" s="2">
        <v>160</v>
      </c>
      <c r="N38" s="2">
        <v>17</v>
      </c>
      <c r="O38" s="2">
        <v>345.91</v>
      </c>
      <c r="P38" s="2">
        <v>691.82</v>
      </c>
      <c r="Q38" s="2">
        <v>11760.94</v>
      </c>
      <c r="R38" s="2">
        <v>92363.94</v>
      </c>
      <c r="S38" s="4">
        <v>99362.94</v>
      </c>
    </row>
    <row r="39" spans="1:19" x14ac:dyDescent="0.3">
      <c r="A39" s="3" t="s">
        <v>174</v>
      </c>
      <c r="B39" s="2" t="s">
        <v>371</v>
      </c>
      <c r="C39" s="2" t="s">
        <v>419</v>
      </c>
      <c r="D39" s="2">
        <v>737177</v>
      </c>
      <c r="E39" s="2">
        <v>712380</v>
      </c>
      <c r="F39" s="2">
        <v>50394</v>
      </c>
      <c r="G39" s="2">
        <v>8971</v>
      </c>
      <c r="H39" s="2">
        <v>25197</v>
      </c>
      <c r="I39" s="2">
        <v>10078</v>
      </c>
      <c r="J39" s="2">
        <v>15118</v>
      </c>
      <c r="K39" s="2">
        <v>2015</v>
      </c>
      <c r="L39" s="2">
        <v>200</v>
      </c>
      <c r="M39" s="2">
        <v>160</v>
      </c>
      <c r="N39" s="2">
        <v>15</v>
      </c>
      <c r="O39" s="2">
        <v>314.95999999999998</v>
      </c>
      <c r="P39" s="2">
        <v>629.91999999999996</v>
      </c>
      <c r="Q39" s="2">
        <v>9448.7999999999993</v>
      </c>
      <c r="R39" s="2">
        <v>82823.8</v>
      </c>
      <c r="S39" s="4">
        <v>91794.8</v>
      </c>
    </row>
    <row r="40" spans="1:19" x14ac:dyDescent="0.3">
      <c r="A40" s="3" t="s">
        <v>175</v>
      </c>
      <c r="B40" s="2" t="s">
        <v>372</v>
      </c>
      <c r="C40" s="2" t="s">
        <v>414</v>
      </c>
      <c r="D40" s="2">
        <v>739057</v>
      </c>
      <c r="E40" s="2">
        <v>441684</v>
      </c>
      <c r="F40" s="2">
        <v>31901</v>
      </c>
      <c r="G40" s="2">
        <v>4906</v>
      </c>
      <c r="H40" s="2">
        <v>15950</v>
      </c>
      <c r="I40" s="2">
        <v>6380</v>
      </c>
      <c r="J40" s="2">
        <v>9570</v>
      </c>
      <c r="K40" s="2">
        <v>1276</v>
      </c>
      <c r="L40" s="2">
        <v>200</v>
      </c>
      <c r="M40" s="2">
        <v>160</v>
      </c>
      <c r="N40" s="2">
        <v>13</v>
      </c>
      <c r="O40" s="2">
        <v>199.38</v>
      </c>
      <c r="P40" s="2">
        <v>398.76</v>
      </c>
      <c r="Q40" s="2">
        <v>5183.88</v>
      </c>
      <c r="R40" s="2">
        <v>51558.879999999997</v>
      </c>
      <c r="S40" s="4">
        <v>56464.88</v>
      </c>
    </row>
    <row r="41" spans="1:19" x14ac:dyDescent="0.3">
      <c r="A41" s="3" t="s">
        <v>176</v>
      </c>
      <c r="B41" s="2" t="s">
        <v>373</v>
      </c>
      <c r="C41" s="2" t="s">
        <v>419</v>
      </c>
      <c r="D41" s="2">
        <v>738205</v>
      </c>
      <c r="E41" s="2">
        <v>777756</v>
      </c>
      <c r="F41" s="2">
        <v>57069</v>
      </c>
      <c r="G41" s="2">
        <v>7744</v>
      </c>
      <c r="H41" s="2">
        <v>28534</v>
      </c>
      <c r="I41" s="2">
        <v>11413</v>
      </c>
      <c r="J41" s="2">
        <v>17120</v>
      </c>
      <c r="K41" s="2">
        <v>2282</v>
      </c>
      <c r="L41" s="2">
        <v>200</v>
      </c>
      <c r="M41" s="2">
        <v>160</v>
      </c>
      <c r="N41" s="2">
        <v>13</v>
      </c>
      <c r="O41" s="2">
        <v>356.68</v>
      </c>
      <c r="P41" s="2">
        <v>713.36</v>
      </c>
      <c r="Q41" s="2">
        <v>9273.68</v>
      </c>
      <c r="R41" s="2">
        <v>92393.68</v>
      </c>
      <c r="S41" s="4">
        <v>100137.68</v>
      </c>
    </row>
    <row r="42" spans="1:19" x14ac:dyDescent="0.3">
      <c r="A42" s="8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 t="s">
        <v>420</v>
      </c>
      <c r="S42" s="10">
        <f>MEDIAN(S2:S41)</f>
        <v>68990.679999999993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FFBD4-C989-4BC3-9392-B29864FD0BB7}">
  <sheetPr codeName="Sheet6"/>
  <dimension ref="A1:C7"/>
  <sheetViews>
    <sheetView tabSelected="1" workbookViewId="0">
      <selection activeCell="F6" sqref="F6"/>
    </sheetView>
  </sheetViews>
  <sheetFormatPr defaultRowHeight="14.4" x14ac:dyDescent="0.3"/>
  <cols>
    <col min="1" max="1" width="24.6640625" customWidth="1"/>
    <col min="2" max="2" width="18.77734375" customWidth="1"/>
    <col min="3" max="3" width="28.6640625" bestFit="1" customWidth="1"/>
  </cols>
  <sheetData>
    <row r="1" spans="1:3" x14ac:dyDescent="0.3">
      <c r="A1" s="2" t="s">
        <v>422</v>
      </c>
      <c r="B1" s="2" t="s">
        <v>423</v>
      </c>
      <c r="C1" s="2" t="s">
        <v>421</v>
      </c>
    </row>
    <row r="2" spans="1:3" x14ac:dyDescent="0.3">
      <c r="A2" s="2" t="s">
        <v>424</v>
      </c>
      <c r="B2" s="2">
        <f>'company 1'!S42</f>
        <v>61289.05</v>
      </c>
      <c r="C2" s="2"/>
    </row>
    <row r="3" spans="1:3" x14ac:dyDescent="0.3">
      <c r="A3" s="2" t="s">
        <v>425</v>
      </c>
      <c r="B3" s="2">
        <f>'company 2'!S41</f>
        <v>61060.36</v>
      </c>
      <c r="C3" s="2"/>
    </row>
    <row r="4" spans="1:3" x14ac:dyDescent="0.3">
      <c r="A4" s="2" t="s">
        <v>426</v>
      </c>
      <c r="B4" s="2">
        <f>'company 3'!S41</f>
        <v>69939.399999999994</v>
      </c>
      <c r="C4" s="2"/>
    </row>
    <row r="5" spans="1:3" x14ac:dyDescent="0.3">
      <c r="A5" s="2" t="s">
        <v>427</v>
      </c>
      <c r="B5" s="2">
        <f>'company 4'!S41</f>
        <v>75700.800000000003</v>
      </c>
      <c r="C5" s="2"/>
    </row>
    <row r="6" spans="1:3" x14ac:dyDescent="0.3">
      <c r="A6" s="2" t="s">
        <v>428</v>
      </c>
      <c r="B6" s="2">
        <f>'company 5'!S42</f>
        <v>68990.679999999993</v>
      </c>
      <c r="C6" s="2"/>
    </row>
    <row r="7" spans="1:3" x14ac:dyDescent="0.3">
      <c r="A7" s="2"/>
      <c r="B7" s="2"/>
      <c r="C7" s="2">
        <f>(B2+B3+B4+B5+B6)/5</f>
        <v>67396.05799999999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company 1</vt:lpstr>
      <vt:lpstr>company 2</vt:lpstr>
      <vt:lpstr>company 3</vt:lpstr>
      <vt:lpstr>company 4</vt:lpstr>
      <vt:lpstr>company 5</vt:lpstr>
      <vt:lpstr>benchmark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sneha khandelwal</cp:lastModifiedBy>
  <dcterms:created xsi:type="dcterms:W3CDTF">2026-04-08T17:10:53Z</dcterms:created>
  <dcterms:modified xsi:type="dcterms:W3CDTF">2026-04-09T11:09:33Z</dcterms:modified>
</cp:coreProperties>
</file>